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Quote Summary" sheetId="1" r:id="rId4"/>
    <sheet state="visible" name="Client Data" sheetId="2" r:id="rId5"/>
    <sheet state="visible" name="Quote Items" sheetId="3" r:id="rId6"/>
  </sheets>
  <definedNames/>
  <calcPr/>
  <extLst>
    <ext uri="GoogleSheetsCustomDataVersion2">
      <go:sheetsCustomData xmlns:go="http://customooxmlschemas.google.com/" r:id="rId7" roundtripDataChecksum="3a3svDQq1oB0vnaa59ypexhLTR6NJIIzB1mf+t8HGWE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M1">
      <text>
        <t xml:space="preserve">======
ID#AAACEiz6O7M
tc={A397A6B0-4FEE-1215-83B9-C8A061D26C68}    (2026-07-30 19:12:20)
[Threaded comment]
Your version of Excel allows you to read this threaded comment; however, any edits to it will get removed if the file is opened in a newer version of Excel. Learn more: https://go.microsoft.com/fwlink/?linkid=870924
Comment:
    VAT_Rate is the decimal tax rate. The approved default is 0.15, displayed as 15%. Discount and markup inputs are handled separately as ordinary numbers.</t>
      </text>
    </comment>
  </commentList>
  <extLst>
    <ext uri="GoogleSheetsCustomDataVersion2">
      <go:sheetsCustomData xmlns:go="http://customooxmlschemas.google.com/" r:id="rId1" roundtripDataSignature="AMtx7mjgLvzhNSQVkCWDqHrKPRm+TSKTww=="/>
    </ext>
  </extLst>
</comments>
</file>

<file path=xl/comments2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AG1">
      <text>
        <t xml:space="preserve">======
ID#AAACEiz6O7Q
tc={5213CA36-B0B2-1A98-C1E3-4F4ECA5105FB}    (2026-07-30 19:12:20)
[Threaded comment]
Your version of Excel allows you to read this threaded comment; however, any edits to it will get removed if the file is opened in a newer version of Excel. Learn more: https://go.microsoft.com/fwlink/?linkid=870924
Comment:
    Ordinary percentage input. Enter 30 for 30%. The formula divides this value by 100.</t>
      </text>
    </comment>
    <comment authorId="0" ref="AJ1">
      <text>
        <t xml:space="preserve">======
ID#AAACEiz6O7I
tc={EC882764-CC82-D2A6-80BA-8E5386C31DD9}    (2026-07-30 19:12:20)
[Threaded comment]
Your version of Excel allows you to read this threaded comment; however, any edits to it will get removed if the file is opened in a newer version of Excel. Learn more: https://go.microsoft.com/fwlink/?linkid=870924
Comment:
    Formula-controlled column. n8n must write only A:AI and must never send values, including blanks, to AJ:AT.</t>
      </text>
    </comment>
    <comment authorId="0" ref="AF1">
      <text>
        <t xml:space="preserve">======
ID#AAACEiz6O7E
tc={32BE12F7-E368-24F7-1386-FC87D2FF5870}    (2026-07-30 19:12:20)
[Threaded comment]
Your version of Excel allows you to read this threaded comment; however, any edits to it will get removed if the file is opened in a newer version of Excel. Learn more: https://go.microsoft.com/fwlink/?linkid=870924
Comment:
    Ordinary percentage input. Enter 15 for 15%. The formula divides this value by 100.</t>
      </text>
    </comment>
  </commentList>
  <extLst>
    <ext uri="GoogleSheetsCustomDataVersion2">
      <go:sheetsCustomData xmlns:go="http://customooxmlschemas.google.com/" r:id="rId1" roundtripDataSignature="AMtx7mijG9rr1VZPewCz1RzukoJ/58ufdQ=="/>
    </ext>
  </extLst>
</comments>
</file>

<file path=xl/sharedStrings.xml><?xml version="1.0" encoding="utf-8"?>
<sst xmlns="http://schemas.openxmlformats.org/spreadsheetml/2006/main" count="89" uniqueCount="86">
  <si>
    <t>GLOBEFURN INTERNAL QUOTE SUMMARY</t>
  </si>
  <si>
    <t>Line_No</t>
  </si>
  <si>
    <t>Source</t>
  </si>
  <si>
    <t>Internal working document — catalogue matching, supplier details, confidence, warnings, and cost inputs are not customer-facing.</t>
  </si>
  <si>
    <t>Business_Name</t>
  </si>
  <si>
    <t>Contact_Person</t>
  </si>
  <si>
    <t>Cell_Number</t>
  </si>
  <si>
    <t>Telephone_Number</t>
  </si>
  <si>
    <t>Incoming_Product_Description</t>
  </si>
  <si>
    <t>Email</t>
  </si>
  <si>
    <t>Incoming_Product_Type</t>
  </si>
  <si>
    <t>Sales_Rep</t>
  </si>
  <si>
    <t>Incoming_Product_Category</t>
  </si>
  <si>
    <t>Business</t>
  </si>
  <si>
    <t>Quote_Date_ISO</t>
  </si>
  <si>
    <t>Incoming_Product_Name</t>
  </si>
  <si>
    <t>Project_Name</t>
  </si>
  <si>
    <t>Quantity</t>
  </si>
  <si>
    <t>Quotation_Reference</t>
  </si>
  <si>
    <t>Material_Description</t>
  </si>
  <si>
    <t>Client_Notes</t>
  </si>
  <si>
    <t>Match_Status</t>
  </si>
  <si>
    <t>Currency</t>
  </si>
  <si>
    <t>Match_Confidence</t>
  </si>
  <si>
    <t>VAT_Rate</t>
  </si>
  <si>
    <t>Product_ID</t>
  </si>
  <si>
    <t>Total_Items</t>
  </si>
  <si>
    <t>Category</t>
  </si>
  <si>
    <t>Matched_Items</t>
  </si>
  <si>
    <t>Subcategory</t>
  </si>
  <si>
    <t>Needs_Review_Items</t>
  </si>
  <si>
    <t>Series_Name</t>
  </si>
  <si>
    <t>Unmatched_Items</t>
  </si>
  <si>
    <t>Product_Number</t>
  </si>
  <si>
    <t>Custom_Items</t>
  </si>
  <si>
    <t>Pricing_Inputs_Required</t>
  </si>
  <si>
    <t>Catalogue_Product_Name</t>
  </si>
  <si>
    <t>Search_Name</t>
  </si>
  <si>
    <t>Project</t>
  </si>
  <si>
    <t>Catalogue_Description</t>
  </si>
  <si>
    <t>Material_Type</t>
  </si>
  <si>
    <t>Supplier_Name</t>
  </si>
  <si>
    <t>Catalogue_Page</t>
  </si>
  <si>
    <t>Match_Reason</t>
  </si>
  <si>
    <t>Candidate_1</t>
  </si>
  <si>
    <t>Candidate_2</t>
  </si>
  <si>
    <t>Candidate_3</t>
  </si>
  <si>
    <t>Quotation Reference</t>
  </si>
  <si>
    <t>Candidate_4</t>
  </si>
  <si>
    <t>Candidate_5</t>
  </si>
  <si>
    <t>Needs_Review</t>
  </si>
  <si>
    <t>Pricing_Input_Required</t>
  </si>
  <si>
    <t>Warnings</t>
  </si>
  <si>
    <t>Buying_Price_Excl_VAT</t>
  </si>
  <si>
    <t>Contact</t>
  </si>
  <si>
    <t>Addons_Cost_Per_Unit_Excl_VAT</t>
  </si>
  <si>
    <t>Discount % — enter 15 for 15%</t>
  </si>
  <si>
    <t>Markup % — enter 30 for 30%</t>
  </si>
  <si>
    <t>Transport_Amount</t>
  </si>
  <si>
    <t>Transport_Basis</t>
  </si>
  <si>
    <t>Sales Rep</t>
  </si>
  <si>
    <t>Processing_Status</t>
  </si>
  <si>
    <t>Cost_Before_Discount_Per_Unit</t>
  </si>
  <si>
    <t>Discount_Amount_Per_Unit</t>
  </si>
  <si>
    <t>Quote Date</t>
  </si>
  <si>
    <t>Net_Cost_Per_Unit</t>
  </si>
  <si>
    <t>Markup_Amount_Per_Unit</t>
  </si>
  <si>
    <t>Selling_Before_Transport_Per_Unit</t>
  </si>
  <si>
    <t>Transport_Total</t>
  </si>
  <si>
    <t>Unit_Selling_Price_Excl_VAT</t>
  </si>
  <si>
    <t>Phone</t>
  </si>
  <si>
    <t>Line_Subtotal_Excl_VAT</t>
  </si>
  <si>
    <t>VAT_Amount</t>
  </si>
  <si>
    <t>Line_Total_Incl_VAT</t>
  </si>
  <si>
    <t>Processing Status</t>
  </si>
  <si>
    <t>Line</t>
  </si>
  <si>
    <t>Requested Product</t>
  </si>
  <si>
    <t>Catalogue Match</t>
  </si>
  <si>
    <t>Supplier</t>
  </si>
  <si>
    <t>Qty</t>
  </si>
  <si>
    <t>Match Status</t>
  </si>
  <si>
    <t>Unit Price Excl VAT</t>
  </si>
  <si>
    <t>Line Total Incl VAT</t>
  </si>
  <si>
    <t>Subtotal Excl VAT</t>
  </si>
  <si>
    <t>VAT</t>
  </si>
  <si>
    <t>Total Incl VAT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</si>
</sst>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&quot;ZAR&quot; #,##0.00"/>
    <numFmt numFmtId="165" formatCode="0.00&quot;%&quot;"/>
  </numFmts>
  <fonts count="11">
    <font>
      <sz val="11.0"/>
      <color rgb="FF000000"/>
      <name val="Carlito"/>
      <scheme val="minor"/>
    </font>
    <font>
      <b/>
      <sz val="20.0"/>
      <color rgb="FFFFFFFF"/>
      <name val="Carlito"/>
    </font>
    <font>
      <b/>
      <sz val="11.0"/>
      <color rgb="FFFFFFFF"/>
      <name val="Carlito"/>
    </font>
    <font>
      <i/>
      <sz val="10.0"/>
      <color rgb="FF1F2937"/>
      <name val="Carlito"/>
    </font>
    <font>
      <sz val="11.0"/>
      <color theme="1"/>
      <name val="Carlito"/>
    </font>
    <font>
      <b/>
      <sz val="11.0"/>
      <color rgb="FF17365D"/>
      <name val="Carlito"/>
    </font>
    <font/>
    <font>
      <sz val="10.0"/>
      <color rgb="FF1F2937"/>
      <name val="Carlito"/>
    </font>
    <font>
      <b/>
      <sz val="12.0"/>
      <color rgb="FF17365D"/>
      <name val="Carlito"/>
    </font>
    <font>
      <b/>
      <sz val="11.0"/>
      <color rgb="FF7F6000"/>
      <name val="Carlito"/>
    </font>
    <font>
      <b/>
      <sz val="12.0"/>
      <color rgb="FFFFFFFF"/>
      <name val="Carlito"/>
    </font>
  </fonts>
  <fills count="11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E7E6E6"/>
        <bgColor rgb="FFE7E6E6"/>
      </patternFill>
    </fill>
    <fill>
      <patternFill patternType="solid">
        <fgColor rgb="FFF8FAFC"/>
        <bgColor rgb="FFF8FAFC"/>
      </patternFill>
    </fill>
    <fill>
      <patternFill patternType="solid">
        <fgColor rgb="FFD9E1F2"/>
        <bgColor rgb="FFD9E1F2"/>
      </patternFill>
    </fill>
    <fill>
      <patternFill patternType="solid">
        <fgColor rgb="FFFFFFFF"/>
        <bgColor rgb="FFFFFFFF"/>
      </patternFill>
    </fill>
    <fill>
      <patternFill patternType="solid">
        <fgColor rgb="FF2F75B5"/>
        <bgColor rgb="FF2F75B5"/>
      </patternFill>
    </fill>
    <fill>
      <patternFill patternType="solid">
        <fgColor rgb="FFD9EAF7"/>
        <bgColor rgb="FFD9EAF7"/>
      </patternFill>
    </fill>
    <fill>
      <patternFill patternType="solid">
        <fgColor rgb="FFFFF2CC"/>
        <bgColor rgb="FFFFF2CC"/>
      </patternFill>
    </fill>
    <fill>
      <patternFill patternType="solid">
        <fgColor rgb="FFF3F6FA"/>
        <bgColor rgb="FFF3F6FA"/>
      </patternFill>
    </fill>
  </fills>
  <borders count="13">
    <border/>
    <border>
      <left style="thin">
        <color rgb="FFB7C9D6"/>
      </left>
      <right style="thin">
        <color rgb="FFB7C9D6"/>
      </right>
      <top style="thin">
        <color rgb="FFB7C9D6"/>
      </top>
      <bottom style="thin">
        <color rgb="FFB7C9D6"/>
      </bottom>
    </border>
    <border>
      <left style="thin">
        <color rgb="FFB7C9D6"/>
      </left>
      <top style="thin">
        <color rgb="FFB7C9D6"/>
      </top>
    </border>
    <border>
      <top style="thin">
        <color rgb="FFB7C9D6"/>
      </top>
    </border>
    <border>
      <bottom style="thin">
        <color rgb="FFE5E7EB"/>
      </bottom>
    </border>
    <border>
      <right style="thin">
        <color rgb="FFB7C9D6"/>
      </right>
      <top style="thin">
        <color rgb="FFB7C9D6"/>
      </top>
    </border>
    <border>
      <left style="thin">
        <color rgb="FFB7C9D6"/>
      </left>
    </border>
    <border>
      <right style="thin">
        <color rgb="FFB7C9D6"/>
      </right>
    </border>
    <border>
      <left style="thin">
        <color rgb="FFB7C9D6"/>
      </left>
      <bottom style="thin">
        <color rgb="FFB7C9D6"/>
      </bottom>
    </border>
    <border>
      <bottom style="thin">
        <color rgb="FFB7C9D6"/>
      </bottom>
    </border>
    <border>
      <right style="thin">
        <color rgb="FFB7C9D6"/>
      </right>
      <bottom style="thin">
        <color rgb="FFB7C9D6"/>
      </bottom>
    </border>
    <border>
      <top style="thin">
        <color rgb="FFE5E7EB"/>
      </top>
      <bottom style="thin">
        <color rgb="FFE5E7EB"/>
      </bottom>
    </border>
    <border>
      <left style="medium">
        <color rgb="FF17365D"/>
      </left>
      <right style="medium">
        <color rgb="FF17365D"/>
      </right>
      <top style="medium">
        <color rgb="FF17365D"/>
      </top>
      <bottom style="medium">
        <color rgb="FF17365D"/>
      </bottom>
    </border>
  </borders>
  <cellStyleXfs count="1">
    <xf borderId="0" fillId="0" fontId="0" numFmtId="0" applyAlignment="1" applyFont="1"/>
  </cellStyleXfs>
  <cellXfs count="52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1" fillId="2" fontId="2" numFmtId="0" xfId="0" applyAlignment="1" applyBorder="1" applyFill="1" applyFont="1">
      <alignment horizontal="center" shrinkToFit="0" vertical="center" wrapText="1"/>
    </xf>
    <xf borderId="0" fillId="3" fontId="3" numFmtId="0" xfId="0" applyAlignment="1" applyFill="1" applyFont="1">
      <alignment horizontal="center" shrinkToFit="0" vertical="center" wrapText="1"/>
    </xf>
    <xf borderId="0" fillId="0" fontId="4" numFmtId="0" xfId="0" applyAlignment="1" applyFont="1">
      <alignment vertical="center"/>
    </xf>
    <xf borderId="2" fillId="4" fontId="5" numFmtId="0" xfId="0" applyAlignment="1" applyBorder="1" applyFill="1" applyFont="1">
      <alignment vertical="center"/>
    </xf>
    <xf borderId="3" fillId="4" fontId="4" numFmtId="0" xfId="0" applyAlignment="1" applyBorder="1" applyFill="1" applyFont="1">
      <alignment vertical="center"/>
    </xf>
    <xf borderId="3" fillId="0" fontId="6" numFmtId="0" xfId="0" applyBorder="1" applyFont="1"/>
    <xf borderId="4" fillId="0" fontId="7" numFmtId="0" xfId="0" applyAlignment="1" applyBorder="1" applyFont="1">
      <alignment shrinkToFit="0" vertical="top" wrapText="1"/>
    </xf>
    <xf borderId="3" fillId="4" fontId="5" numFmtId="0" xfId="0" applyAlignment="1" applyBorder="1" applyFill="1" applyFont="1">
      <alignment vertical="center"/>
    </xf>
    <xf borderId="4" fillId="0" fontId="7" numFmtId="49" xfId="0" applyAlignment="1" applyBorder="1" applyFont="1" applyNumberFormat="1">
      <alignment shrinkToFit="0" vertical="top" wrapText="1"/>
    </xf>
    <xf borderId="4" fillId="0" fontId="7" numFmtId="9" xfId="0" applyAlignment="1" applyBorder="1" applyFont="1" applyNumberFormat="1">
      <alignment shrinkToFit="0" vertical="top" wrapText="1"/>
    </xf>
    <xf borderId="4" fillId="0" fontId="7" numFmtId="1" xfId="0" applyAlignment="1" applyBorder="1" applyFont="1" applyNumberFormat="1">
      <alignment shrinkToFit="0" vertical="top" wrapText="1"/>
    </xf>
    <xf borderId="5" fillId="0" fontId="6" numFmtId="0" xfId="0" applyBorder="1" applyFont="1"/>
    <xf borderId="6" fillId="4" fontId="5" numFmtId="0" xfId="0" applyAlignment="1" applyBorder="1" applyFill="1" applyFont="1">
      <alignment vertical="center"/>
    </xf>
    <xf borderId="0" fillId="4" fontId="4" numFmtId="0" xfId="0" applyAlignment="1" applyFill="1" applyFont="1">
      <alignment vertical="center"/>
    </xf>
    <xf borderId="0" fillId="4" fontId="5" numFmtId="0" xfId="0" applyAlignment="1" applyFill="1" applyFont="1">
      <alignment vertical="center"/>
    </xf>
    <xf borderId="1" fillId="5" fontId="5" numFmtId="0" xfId="0" applyAlignment="1" applyBorder="1" applyFill="1" applyFont="1">
      <alignment horizontal="center" shrinkToFit="0" vertical="center" wrapText="1"/>
    </xf>
    <xf borderId="7" fillId="0" fontId="6" numFmtId="0" xfId="0" applyBorder="1" applyFont="1"/>
    <xf borderId="8" fillId="4" fontId="5" numFmtId="0" xfId="0" applyAlignment="1" applyBorder="1" applyFill="1" applyFont="1">
      <alignment vertical="center"/>
    </xf>
    <xf borderId="4" fillId="6" fontId="7" numFmtId="1" xfId="0" applyAlignment="1" applyBorder="1" applyFill="1" applyFont="1" applyNumberFormat="1">
      <alignment shrinkToFit="0" vertical="top" wrapText="1"/>
    </xf>
    <xf borderId="4" fillId="6" fontId="7" numFmtId="0" xfId="0" applyAlignment="1" applyBorder="1" applyFill="1" applyFont="1">
      <alignment shrinkToFit="0" vertical="top" wrapText="1"/>
    </xf>
    <xf borderId="9" fillId="4" fontId="4" numFmtId="0" xfId="0" applyAlignment="1" applyBorder="1" applyFill="1" applyFont="1">
      <alignment vertical="center"/>
    </xf>
    <xf borderId="9" fillId="0" fontId="6" numFmtId="0" xfId="0" applyBorder="1" applyFont="1"/>
    <xf borderId="9" fillId="4" fontId="5" numFmtId="0" xfId="0" applyAlignment="1" applyBorder="1" applyFill="1" applyFont="1">
      <alignment vertical="center"/>
    </xf>
    <xf borderId="4" fillId="6" fontId="7" numFmtId="49" xfId="0" applyAlignment="1" applyBorder="1" applyFill="1" applyFont="1" applyNumberFormat="1">
      <alignment shrinkToFit="0" vertical="top" wrapText="1"/>
    </xf>
    <xf borderId="10" fillId="0" fontId="6" numFmtId="0" xfId="0" applyBorder="1" applyFont="1"/>
    <xf borderId="0" fillId="7" fontId="2" numFmtId="0" xfId="0" applyAlignment="1" applyFill="1" applyFont="1">
      <alignment horizontal="center" vertical="center"/>
    </xf>
    <xf borderId="4" fillId="6" fontId="7" numFmtId="164" xfId="0" applyAlignment="1" applyBorder="1" applyFill="1" applyFont="1" applyNumberFormat="1">
      <alignment shrinkToFit="0" vertical="top" wrapText="1"/>
    </xf>
    <xf borderId="4" fillId="6" fontId="7" numFmtId="165" xfId="0" applyAlignment="1" applyBorder="1" applyFill="1" applyFont="1" applyNumberFormat="1">
      <alignment readingOrder="0" shrinkToFit="0" vertical="top" wrapText="1"/>
    </xf>
    <xf borderId="4" fillId="6" fontId="7" numFmtId="165" xfId="0" applyAlignment="1" applyBorder="1" applyFill="1" applyFont="1" applyNumberFormat="1">
      <alignment shrinkToFit="0" vertical="top" wrapText="1"/>
    </xf>
    <xf borderId="0" fillId="8" fontId="8" numFmtId="0" xfId="0" applyAlignment="1" applyFill="1" applyFont="1">
      <alignment horizontal="center" vertical="center"/>
    </xf>
    <xf borderId="0" fillId="9" fontId="9" numFmtId="0" xfId="0" applyAlignment="1" applyFill="1" applyFont="1">
      <alignment horizontal="center" shrinkToFit="0" vertical="center" wrapText="1"/>
    </xf>
    <xf borderId="4" fillId="10" fontId="7" numFmtId="49" xfId="0" applyAlignment="1" applyBorder="1" applyFill="1" applyFont="1" applyNumberFormat="1">
      <alignment shrinkToFit="0" vertical="top" wrapText="1"/>
    </xf>
    <xf borderId="4" fillId="0" fontId="7" numFmtId="1" xfId="0" applyAlignment="1" applyBorder="1" applyFont="1" applyNumberFormat="1">
      <alignment shrinkToFit="0" vertical="center" wrapText="1"/>
    </xf>
    <xf borderId="4" fillId="10" fontId="7" numFmtId="164" xfId="0" applyAlignment="1" applyBorder="1" applyFill="1" applyFont="1" applyNumberFormat="1">
      <alignment shrinkToFit="0" vertical="top" wrapText="1"/>
    </xf>
    <xf borderId="4" fillId="0" fontId="7" numFmtId="0" xfId="0" applyAlignment="1" applyBorder="1" applyFont="1">
      <alignment shrinkToFit="0" vertical="center" wrapText="1"/>
    </xf>
    <xf borderId="4" fillId="0" fontId="7" numFmtId="164" xfId="0" applyAlignment="1" applyBorder="1" applyFont="1" applyNumberFormat="1">
      <alignment shrinkToFit="0" vertical="center" wrapText="1"/>
    </xf>
    <xf borderId="11" fillId="0" fontId="7" numFmtId="1" xfId="0" applyAlignment="1" applyBorder="1" applyFont="1" applyNumberFormat="1">
      <alignment shrinkToFit="0" vertical="center" wrapText="1"/>
    </xf>
    <xf borderId="11" fillId="0" fontId="7" numFmtId="0" xfId="0" applyAlignment="1" applyBorder="1" applyFont="1">
      <alignment shrinkToFit="0" vertical="center" wrapText="1"/>
    </xf>
    <xf borderId="11" fillId="6" fontId="7" numFmtId="1" xfId="0" applyAlignment="1" applyBorder="1" applyFill="1" applyFont="1" applyNumberFormat="1">
      <alignment shrinkToFit="0" vertical="top" wrapText="1"/>
    </xf>
    <xf borderId="11" fillId="6" fontId="7" numFmtId="0" xfId="0" applyAlignment="1" applyBorder="1" applyFill="1" applyFont="1">
      <alignment shrinkToFit="0" vertical="top" wrapText="1"/>
    </xf>
    <xf borderId="11" fillId="6" fontId="7" numFmtId="49" xfId="0" applyAlignment="1" applyBorder="1" applyFill="1" applyFont="1" applyNumberFormat="1">
      <alignment shrinkToFit="0" vertical="top" wrapText="1"/>
    </xf>
    <xf borderId="11" fillId="6" fontId="7" numFmtId="164" xfId="0" applyAlignment="1" applyBorder="1" applyFill="1" applyFont="1" applyNumberFormat="1">
      <alignment shrinkToFit="0" vertical="top" wrapText="1"/>
    </xf>
    <xf borderId="11" fillId="0" fontId="7" numFmtId="164" xfId="0" applyAlignment="1" applyBorder="1" applyFont="1" applyNumberFormat="1">
      <alignment shrinkToFit="0" vertical="center" wrapText="1"/>
    </xf>
    <xf borderId="11" fillId="6" fontId="7" numFmtId="165" xfId="0" applyAlignment="1" applyBorder="1" applyFill="1" applyFont="1" applyNumberFormat="1">
      <alignment shrinkToFit="0" vertical="top" wrapText="1"/>
    </xf>
    <xf borderId="11" fillId="10" fontId="7" numFmtId="49" xfId="0" applyAlignment="1" applyBorder="1" applyFill="1" applyFont="1" applyNumberFormat="1">
      <alignment shrinkToFit="0" vertical="top" wrapText="1"/>
    </xf>
    <xf borderId="11" fillId="10" fontId="7" numFmtId="164" xfId="0" applyAlignment="1" applyBorder="1" applyFill="1" applyFont="1" applyNumberFormat="1">
      <alignment shrinkToFit="0" vertical="top" wrapText="1"/>
    </xf>
    <xf borderId="1" fillId="8" fontId="5" numFmtId="0" xfId="0" applyAlignment="1" applyBorder="1" applyFill="1" applyFont="1">
      <alignment vertical="center"/>
    </xf>
    <xf borderId="1" fillId="8" fontId="5" numFmtId="164" xfId="0" applyAlignment="1" applyBorder="1" applyFill="1" applyFont="1" applyNumberFormat="1">
      <alignment vertical="center"/>
    </xf>
    <xf borderId="12" fillId="2" fontId="10" numFmtId="0" xfId="0" applyAlignment="1" applyBorder="1" applyFill="1" applyFont="1">
      <alignment vertical="center"/>
    </xf>
    <xf borderId="12" fillId="2" fontId="10" numFmtId="164" xfId="0" applyAlignment="1" applyBorder="1" applyFill="1" applyFont="1" applyNumberFormat="1">
      <alignment vertical="center"/>
    </xf>
  </cellXfs>
  <cellStyles count="1">
    <cellStyle xfId="0" name="Normal" builtinId="0"/>
  </cellStyles>
  <dxfs count="5">
    <dxf>
      <font>
        <color rgb="FF375623"/>
      </font>
      <fill>
        <patternFill patternType="solid">
          <fgColor rgb="FFE2F0D9"/>
          <bgColor rgb="FFE2F0D9"/>
        </patternFill>
      </fill>
      <border/>
    </dxf>
    <dxf>
      <font>
        <color rgb="FF7F6000"/>
      </font>
      <fill>
        <patternFill patternType="solid">
          <fgColor rgb="FFFFF2CC"/>
          <bgColor rgb="FFFFF2CC"/>
        </patternFill>
      </fill>
      <border/>
    </dxf>
    <dxf>
      <font>
        <color rgb="FF9C0006"/>
      </font>
      <fill>
        <patternFill patternType="solid">
          <fgColor rgb="FFFCE4D6"/>
          <bgColor rgb="FFFCE4D6"/>
        </patternFill>
      </fill>
      <border/>
    </dxf>
    <dxf>
      <font>
        <color rgb="FF17365D"/>
      </font>
      <fill>
        <patternFill patternType="solid">
          <fgColor rgb="FFD9EAF7"/>
          <bgColor rgb="FFD9EAF7"/>
        </patternFill>
      </fill>
      <border/>
    </dxf>
    <dxf>
      <font>
        <color rgb="FF7030A0"/>
      </font>
      <fill>
        <patternFill patternType="solid">
          <fgColor rgb="FFE4DFEC"/>
          <bgColor rgb="FFE4DFEC"/>
        </patternFill>
      </fill>
      <border/>
    </dxf>
  </dxf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8.0"/>
    <col customWidth="1" min="2" max="3" width="28.0"/>
    <col customWidth="1" min="4" max="4" width="22.0"/>
    <col customWidth="1" min="5" max="5" width="8.0"/>
    <col customWidth="1" min="6" max="6" width="16.0"/>
    <col customWidth="1" min="7" max="7" width="22.0"/>
    <col customWidth="1" min="8" max="9" width="20.0"/>
    <col customWidth="1" min="10" max="26" width="8.63"/>
  </cols>
  <sheetData>
    <row r="1">
      <c r="A1" s="1" t="s">
        <v>0</v>
      </c>
    </row>
    <row r="3">
      <c r="A3" s="3" t="s">
        <v>3</v>
      </c>
    </row>
    <row r="4">
      <c r="A4" s="4"/>
      <c r="B4" s="4"/>
      <c r="C4" s="4"/>
      <c r="D4" s="4"/>
      <c r="E4" s="4"/>
      <c r="F4" s="4"/>
      <c r="G4" s="4"/>
      <c r="H4" s="4"/>
      <c r="I4" s="4"/>
    </row>
    <row r="5">
      <c r="A5" s="5" t="s">
        <v>13</v>
      </c>
      <c r="B5" s="6" t="str">
        <f>IF('Client Data'!B2="","",'Client Data'!B2)</f>
        <v/>
      </c>
      <c r="C5" s="7"/>
      <c r="D5" s="9" t="s">
        <v>38</v>
      </c>
      <c r="E5" s="6" t="str">
        <f>IF('Client Data'!I2="","",'Client Data'!I2)</f>
        <v/>
      </c>
      <c r="F5" s="7"/>
      <c r="G5" s="9" t="s">
        <v>47</v>
      </c>
      <c r="H5" s="6" t="str">
        <f>IF('Client Data'!J2="","",'Client Data'!J2)</f>
        <v/>
      </c>
      <c r="I5" s="13"/>
    </row>
    <row r="6">
      <c r="A6" s="14" t="s">
        <v>54</v>
      </c>
      <c r="B6" s="15" t="str">
        <f>IF('Client Data'!C2="","",'Client Data'!C2)</f>
        <v/>
      </c>
      <c r="D6" s="16" t="s">
        <v>60</v>
      </c>
      <c r="E6" s="15" t="str">
        <f>IF('Client Data'!G2="","",'Client Data'!G2)</f>
        <v/>
      </c>
      <c r="G6" s="16" t="s">
        <v>64</v>
      </c>
      <c r="H6" s="15" t="str">
        <f>IF('Client Data'!H2="","",'Client Data'!H2)</f>
        <v/>
      </c>
      <c r="I6" s="18"/>
    </row>
    <row r="7">
      <c r="A7" s="19" t="s">
        <v>70</v>
      </c>
      <c r="B7" s="22" t="str">
        <f>IFERROR(IF('Client Data'!D2&lt;&gt;"",'Client Data'!D2,IF('Client Data'!E2&lt;&gt;"",'Client Data'!E2,"")),"")</f>
        <v/>
      </c>
      <c r="C7" s="23"/>
      <c r="D7" s="24" t="s">
        <v>9</v>
      </c>
      <c r="E7" s="22" t="str">
        <f>IF('Client Data'!F2="","",'Client Data'!F2)</f>
        <v/>
      </c>
      <c r="F7" s="23"/>
      <c r="G7" s="24" t="s">
        <v>22</v>
      </c>
      <c r="H7" s="22" t="str">
        <f>IF('Client Data'!L2="","",'Client Data'!L2)</f>
        <v/>
      </c>
      <c r="I7" s="26"/>
    </row>
    <row r="8">
      <c r="A8" s="4"/>
      <c r="B8" s="4"/>
      <c r="C8" s="4"/>
      <c r="D8" s="4"/>
      <c r="E8" s="4"/>
      <c r="F8" s="4"/>
      <c r="G8" s="4"/>
      <c r="H8" s="4"/>
      <c r="I8" s="4"/>
    </row>
    <row r="9">
      <c r="A9" s="27" t="s">
        <v>74</v>
      </c>
      <c r="C9" s="31" t="str">
        <f>IF(COUNTA('Quote Items'!$A$2:$A$101)=0,"Waiting for Items",IF(COUNTIFS('Quote Items'!$A$2:$A$101,"&lt;&gt;",'Quote Items'!$AJ$2:$AJ$101,"Needs Product Review")&gt;0,"Needs Product Review",IF(COUNTIFS('Quote Items'!$A$2:$A$101,"&lt;&gt;",'Quote Items'!$AJ$2:$AJ$101,"Ready for Pricing")&gt;0,"Ready for Pricing",IF(COUNTIFS('Quote Items'!$A$2:$A$101,"&lt;&gt;",'Quote Items'!$AJ$2:$AJ$101,"Pricing Incomplete")&gt;0,"Pricing Incomplete","Ready for Quote Review"))))</f>
        <v>Waiting for Items</v>
      </c>
    </row>
    <row r="10">
      <c r="A10" s="32" t="str">
        <f>IF(COUNTA('Quote Items'!$A$2:$A$101)=0,"No submitted products yet.",IF(COUNTIFS('Quote Items'!$A$2:$A$101,"&lt;&gt;",'Quote Items'!$AJ$2:$AJ$101,"&lt;&gt;Ready for Quote Review")&gt;0,"WARNING: Quote totals remain blank until every included item is reviewed and fully priced.","All included items are reviewed and fully priced."))</f>
        <v>No submitted products yet.</v>
      </c>
    </row>
    <row r="11">
      <c r="A11" s="4"/>
      <c r="B11" s="4"/>
      <c r="C11" s="4"/>
      <c r="D11" s="4"/>
      <c r="E11" s="4"/>
      <c r="F11" s="4"/>
      <c r="G11" s="4"/>
      <c r="H11" s="4"/>
      <c r="I11" s="4"/>
    </row>
    <row r="12" ht="36.0" customHeight="1">
      <c r="A12" s="2" t="s">
        <v>75</v>
      </c>
      <c r="B12" s="2" t="s">
        <v>76</v>
      </c>
      <c r="C12" s="2" t="s">
        <v>77</v>
      </c>
      <c r="D12" s="2" t="s">
        <v>78</v>
      </c>
      <c r="E12" s="2" t="s">
        <v>79</v>
      </c>
      <c r="F12" s="2" t="s">
        <v>80</v>
      </c>
      <c r="G12" s="2" t="s">
        <v>74</v>
      </c>
      <c r="H12" s="2" t="s">
        <v>81</v>
      </c>
      <c r="I12" s="2" t="s">
        <v>82</v>
      </c>
    </row>
    <row r="13">
      <c r="A13" s="34" t="str">
        <f>IF('Quote Items'!A2="","",'Quote Items'!A2)</f>
        <v/>
      </c>
      <c r="B13" s="36" t="str">
        <f>IF('Quote Items'!A2="","",'Quote Items'!E2)</f>
        <v/>
      </c>
      <c r="C13" s="36" t="str">
        <f>IF('Quote Items'!A2="","",'Quote Items'!O2)</f>
        <v/>
      </c>
      <c r="D13" s="36" t="str">
        <f>IF('Quote Items'!A2="","",'Quote Items'!S2)</f>
        <v/>
      </c>
      <c r="E13" s="34" t="str">
        <f>IF('Quote Items'!A2="","",'Quote Items'!F2)</f>
        <v/>
      </c>
      <c r="F13" s="36" t="str">
        <f>IF('Quote Items'!A2="","",'Quote Items'!H2)</f>
        <v/>
      </c>
      <c r="G13" s="36" t="str">
        <f>IF('Quote Items'!A2="","",'Quote Items'!AJ2)</f>
        <v/>
      </c>
      <c r="H13" s="37" t="str">
        <f>IF('Quote Items'!A2="","",'Quote Items'!AQ2)</f>
        <v/>
      </c>
      <c r="I13" s="37" t="str">
        <f>IF('Quote Items'!A2="","",'Quote Items'!AT2)</f>
        <v/>
      </c>
    </row>
    <row r="14">
      <c r="A14" s="38" t="str">
        <f>IF('Quote Items'!A3="","",'Quote Items'!A3)</f>
        <v/>
      </c>
      <c r="B14" s="39" t="str">
        <f>IF('Quote Items'!A3="","",'Quote Items'!E3)</f>
        <v/>
      </c>
      <c r="C14" s="39" t="str">
        <f>IF('Quote Items'!A3="","",'Quote Items'!O3)</f>
        <v/>
      </c>
      <c r="D14" s="39" t="str">
        <f>IF('Quote Items'!A3="","",'Quote Items'!S3)</f>
        <v/>
      </c>
      <c r="E14" s="38" t="str">
        <f>IF('Quote Items'!A3="","",'Quote Items'!F3)</f>
        <v/>
      </c>
      <c r="F14" s="39" t="str">
        <f>IF('Quote Items'!A3="","",'Quote Items'!H3)</f>
        <v/>
      </c>
      <c r="G14" s="39" t="str">
        <f>IF('Quote Items'!A3="","",'Quote Items'!AJ3)</f>
        <v/>
      </c>
      <c r="H14" s="44" t="str">
        <f>IF('Quote Items'!A3="","",'Quote Items'!AQ3)</f>
        <v/>
      </c>
      <c r="I14" s="44" t="str">
        <f>IF('Quote Items'!A3="","",'Quote Items'!AT3)</f>
        <v/>
      </c>
    </row>
    <row r="15">
      <c r="A15" s="38" t="str">
        <f>IF('Quote Items'!A4="","",'Quote Items'!A4)</f>
        <v/>
      </c>
      <c r="B15" s="39" t="str">
        <f>IF('Quote Items'!A4="","",'Quote Items'!E4)</f>
        <v/>
      </c>
      <c r="C15" s="39" t="str">
        <f>IF('Quote Items'!A4="","",'Quote Items'!O4)</f>
        <v/>
      </c>
      <c r="D15" s="39" t="str">
        <f>IF('Quote Items'!A4="","",'Quote Items'!S4)</f>
        <v/>
      </c>
      <c r="E15" s="38" t="str">
        <f>IF('Quote Items'!A4="","",'Quote Items'!F4)</f>
        <v/>
      </c>
      <c r="F15" s="39" t="str">
        <f>IF('Quote Items'!A4="","",'Quote Items'!H4)</f>
        <v/>
      </c>
      <c r="G15" s="39" t="str">
        <f>IF('Quote Items'!A4="","",'Quote Items'!AJ4)</f>
        <v/>
      </c>
      <c r="H15" s="44" t="str">
        <f>IF('Quote Items'!A4="","",'Quote Items'!AQ4)</f>
        <v/>
      </c>
      <c r="I15" s="44" t="str">
        <f>IF('Quote Items'!A4="","",'Quote Items'!AT4)</f>
        <v/>
      </c>
    </row>
    <row r="16">
      <c r="A16" s="38" t="str">
        <f>IF('Quote Items'!A5="","",'Quote Items'!A5)</f>
        <v/>
      </c>
      <c r="B16" s="39" t="str">
        <f>IF('Quote Items'!A5="","",'Quote Items'!E5)</f>
        <v/>
      </c>
      <c r="C16" s="39" t="str">
        <f>IF('Quote Items'!A5="","",'Quote Items'!O5)</f>
        <v/>
      </c>
      <c r="D16" s="39" t="str">
        <f>IF('Quote Items'!A5="","",'Quote Items'!S5)</f>
        <v/>
      </c>
      <c r="E16" s="38" t="str">
        <f>IF('Quote Items'!A5="","",'Quote Items'!F5)</f>
        <v/>
      </c>
      <c r="F16" s="39" t="str">
        <f>IF('Quote Items'!A5="","",'Quote Items'!H5)</f>
        <v/>
      </c>
      <c r="G16" s="39" t="str">
        <f>IF('Quote Items'!A5="","",'Quote Items'!AJ5)</f>
        <v/>
      </c>
      <c r="H16" s="44" t="str">
        <f>IF('Quote Items'!A5="","",'Quote Items'!AQ5)</f>
        <v/>
      </c>
      <c r="I16" s="44" t="str">
        <f>IF('Quote Items'!A5="","",'Quote Items'!AT5)</f>
        <v/>
      </c>
    </row>
    <row r="17">
      <c r="A17" s="38" t="str">
        <f>IF('Quote Items'!A6="","",'Quote Items'!A6)</f>
        <v/>
      </c>
      <c r="B17" s="39" t="str">
        <f>IF('Quote Items'!A6="","",'Quote Items'!E6)</f>
        <v/>
      </c>
      <c r="C17" s="39" t="str">
        <f>IF('Quote Items'!A6="","",'Quote Items'!O6)</f>
        <v/>
      </c>
      <c r="D17" s="39" t="str">
        <f>IF('Quote Items'!A6="","",'Quote Items'!S6)</f>
        <v/>
      </c>
      <c r="E17" s="38" t="str">
        <f>IF('Quote Items'!A6="","",'Quote Items'!F6)</f>
        <v/>
      </c>
      <c r="F17" s="39" t="str">
        <f>IF('Quote Items'!A6="","",'Quote Items'!H6)</f>
        <v/>
      </c>
      <c r="G17" s="39" t="str">
        <f>IF('Quote Items'!A6="","",'Quote Items'!AJ6)</f>
        <v/>
      </c>
      <c r="H17" s="44" t="str">
        <f>IF('Quote Items'!A6="","",'Quote Items'!AQ6)</f>
        <v/>
      </c>
      <c r="I17" s="44" t="str">
        <f>IF('Quote Items'!A6="","",'Quote Items'!AT6)</f>
        <v/>
      </c>
    </row>
    <row r="18">
      <c r="A18" s="38" t="str">
        <f>IF('Quote Items'!A7="","",'Quote Items'!A7)</f>
        <v/>
      </c>
      <c r="B18" s="39" t="str">
        <f>IF('Quote Items'!A7="","",'Quote Items'!E7)</f>
        <v/>
      </c>
      <c r="C18" s="39" t="str">
        <f>IF('Quote Items'!A7="","",'Quote Items'!O7)</f>
        <v/>
      </c>
      <c r="D18" s="39" t="str">
        <f>IF('Quote Items'!A7="","",'Quote Items'!S7)</f>
        <v/>
      </c>
      <c r="E18" s="38" t="str">
        <f>IF('Quote Items'!A7="","",'Quote Items'!F7)</f>
        <v/>
      </c>
      <c r="F18" s="39" t="str">
        <f>IF('Quote Items'!A7="","",'Quote Items'!H7)</f>
        <v/>
      </c>
      <c r="G18" s="39" t="str">
        <f>IF('Quote Items'!A7="","",'Quote Items'!AJ7)</f>
        <v/>
      </c>
      <c r="H18" s="44" t="str">
        <f>IF('Quote Items'!A7="","",'Quote Items'!AQ7)</f>
        <v/>
      </c>
      <c r="I18" s="44" t="str">
        <f>IF('Quote Items'!A7="","",'Quote Items'!AT7)</f>
        <v/>
      </c>
    </row>
    <row r="19">
      <c r="A19" s="38" t="str">
        <f>IF('Quote Items'!A8="","",'Quote Items'!A8)</f>
        <v/>
      </c>
      <c r="B19" s="39" t="str">
        <f>IF('Quote Items'!A8="","",'Quote Items'!E8)</f>
        <v/>
      </c>
      <c r="C19" s="39" t="str">
        <f>IF('Quote Items'!A8="","",'Quote Items'!O8)</f>
        <v/>
      </c>
      <c r="D19" s="39" t="str">
        <f>IF('Quote Items'!A8="","",'Quote Items'!S8)</f>
        <v/>
      </c>
      <c r="E19" s="38" t="str">
        <f>IF('Quote Items'!A8="","",'Quote Items'!F8)</f>
        <v/>
      </c>
      <c r="F19" s="39" t="str">
        <f>IF('Quote Items'!A8="","",'Quote Items'!H8)</f>
        <v/>
      </c>
      <c r="G19" s="39" t="str">
        <f>IF('Quote Items'!A8="","",'Quote Items'!AJ8)</f>
        <v/>
      </c>
      <c r="H19" s="44" t="str">
        <f>IF('Quote Items'!A8="","",'Quote Items'!AQ8)</f>
        <v/>
      </c>
      <c r="I19" s="44" t="str">
        <f>IF('Quote Items'!A8="","",'Quote Items'!AT8)</f>
        <v/>
      </c>
    </row>
    <row r="20">
      <c r="A20" s="38" t="str">
        <f>IF('Quote Items'!A9="","",'Quote Items'!A9)</f>
        <v/>
      </c>
      <c r="B20" s="39" t="str">
        <f>IF('Quote Items'!A9="","",'Quote Items'!E9)</f>
        <v/>
      </c>
      <c r="C20" s="39" t="str">
        <f>IF('Quote Items'!A9="","",'Quote Items'!O9)</f>
        <v/>
      </c>
      <c r="D20" s="39" t="str">
        <f>IF('Quote Items'!A9="","",'Quote Items'!S9)</f>
        <v/>
      </c>
      <c r="E20" s="38" t="str">
        <f>IF('Quote Items'!A9="","",'Quote Items'!F9)</f>
        <v/>
      </c>
      <c r="F20" s="39" t="str">
        <f>IF('Quote Items'!A9="","",'Quote Items'!H9)</f>
        <v/>
      </c>
      <c r="G20" s="39" t="str">
        <f>IF('Quote Items'!A9="","",'Quote Items'!AJ9)</f>
        <v/>
      </c>
      <c r="H20" s="44" t="str">
        <f>IF('Quote Items'!A9="","",'Quote Items'!AQ9)</f>
        <v/>
      </c>
      <c r="I20" s="44" t="str">
        <f>IF('Quote Items'!A9="","",'Quote Items'!AT9)</f>
        <v/>
      </c>
    </row>
    <row r="21" ht="15.75" customHeight="1">
      <c r="A21" s="38" t="str">
        <f>IF('Quote Items'!A10="","",'Quote Items'!A10)</f>
        <v/>
      </c>
      <c r="B21" s="39" t="str">
        <f>IF('Quote Items'!A10="","",'Quote Items'!E10)</f>
        <v/>
      </c>
      <c r="C21" s="39" t="str">
        <f>IF('Quote Items'!A10="","",'Quote Items'!O10)</f>
        <v/>
      </c>
      <c r="D21" s="39" t="str">
        <f>IF('Quote Items'!A10="","",'Quote Items'!S10)</f>
        <v/>
      </c>
      <c r="E21" s="38" t="str">
        <f>IF('Quote Items'!A10="","",'Quote Items'!F10)</f>
        <v/>
      </c>
      <c r="F21" s="39" t="str">
        <f>IF('Quote Items'!A10="","",'Quote Items'!H10)</f>
        <v/>
      </c>
      <c r="G21" s="39" t="str">
        <f>IF('Quote Items'!A10="","",'Quote Items'!AJ10)</f>
        <v/>
      </c>
      <c r="H21" s="44" t="str">
        <f>IF('Quote Items'!A10="","",'Quote Items'!AQ10)</f>
        <v/>
      </c>
      <c r="I21" s="44" t="str">
        <f>IF('Quote Items'!A10="","",'Quote Items'!AT10)</f>
        <v/>
      </c>
    </row>
    <row r="22" ht="15.75" customHeight="1">
      <c r="A22" s="38" t="str">
        <f>IF('Quote Items'!A11="","",'Quote Items'!A11)</f>
        <v/>
      </c>
      <c r="B22" s="39" t="str">
        <f>IF('Quote Items'!A11="","",'Quote Items'!E11)</f>
        <v/>
      </c>
      <c r="C22" s="39" t="str">
        <f>IF('Quote Items'!A11="","",'Quote Items'!O11)</f>
        <v/>
      </c>
      <c r="D22" s="39" t="str">
        <f>IF('Quote Items'!A11="","",'Quote Items'!S11)</f>
        <v/>
      </c>
      <c r="E22" s="38" t="str">
        <f>IF('Quote Items'!A11="","",'Quote Items'!F11)</f>
        <v/>
      </c>
      <c r="F22" s="39" t="str">
        <f>IF('Quote Items'!A11="","",'Quote Items'!H11)</f>
        <v/>
      </c>
      <c r="G22" s="39" t="str">
        <f>IF('Quote Items'!A11="","",'Quote Items'!AJ11)</f>
        <v/>
      </c>
      <c r="H22" s="44" t="str">
        <f>IF('Quote Items'!A11="","",'Quote Items'!AQ11)</f>
        <v/>
      </c>
      <c r="I22" s="44" t="str">
        <f>IF('Quote Items'!A11="","",'Quote Items'!AT11)</f>
        <v/>
      </c>
    </row>
    <row r="23" ht="15.75" customHeight="1">
      <c r="A23" s="38" t="str">
        <f>IF('Quote Items'!A12="","",'Quote Items'!A12)</f>
        <v/>
      </c>
      <c r="B23" s="39" t="str">
        <f>IF('Quote Items'!A12="","",'Quote Items'!E12)</f>
        <v/>
      </c>
      <c r="C23" s="39" t="str">
        <f>IF('Quote Items'!A12="","",'Quote Items'!O12)</f>
        <v/>
      </c>
      <c r="D23" s="39" t="str">
        <f>IF('Quote Items'!A12="","",'Quote Items'!S12)</f>
        <v/>
      </c>
      <c r="E23" s="38" t="str">
        <f>IF('Quote Items'!A12="","",'Quote Items'!F12)</f>
        <v/>
      </c>
      <c r="F23" s="39" t="str">
        <f>IF('Quote Items'!A12="","",'Quote Items'!H12)</f>
        <v/>
      </c>
      <c r="G23" s="39" t="str">
        <f>IF('Quote Items'!A12="","",'Quote Items'!AJ12)</f>
        <v/>
      </c>
      <c r="H23" s="44" t="str">
        <f>IF('Quote Items'!A12="","",'Quote Items'!AQ12)</f>
        <v/>
      </c>
      <c r="I23" s="44" t="str">
        <f>IF('Quote Items'!A12="","",'Quote Items'!AT12)</f>
        <v/>
      </c>
    </row>
    <row r="24" ht="15.75" customHeight="1">
      <c r="A24" s="38" t="str">
        <f>IF('Quote Items'!A13="","",'Quote Items'!A13)</f>
        <v/>
      </c>
      <c r="B24" s="39" t="str">
        <f>IF('Quote Items'!A13="","",'Quote Items'!E13)</f>
        <v/>
      </c>
      <c r="C24" s="39" t="str">
        <f>IF('Quote Items'!A13="","",'Quote Items'!O13)</f>
        <v/>
      </c>
      <c r="D24" s="39" t="str">
        <f>IF('Quote Items'!A13="","",'Quote Items'!S13)</f>
        <v/>
      </c>
      <c r="E24" s="38" t="str">
        <f>IF('Quote Items'!A13="","",'Quote Items'!F13)</f>
        <v/>
      </c>
      <c r="F24" s="39" t="str">
        <f>IF('Quote Items'!A13="","",'Quote Items'!H13)</f>
        <v/>
      </c>
      <c r="G24" s="39" t="str">
        <f>IF('Quote Items'!A13="","",'Quote Items'!AJ13)</f>
        <v/>
      </c>
      <c r="H24" s="44" t="str">
        <f>IF('Quote Items'!A13="","",'Quote Items'!AQ13)</f>
        <v/>
      </c>
      <c r="I24" s="44" t="str">
        <f>IF('Quote Items'!A13="","",'Quote Items'!AT13)</f>
        <v/>
      </c>
    </row>
    <row r="25" ht="15.75" customHeight="1">
      <c r="A25" s="38" t="str">
        <f>IF('Quote Items'!A14="","",'Quote Items'!A14)</f>
        <v/>
      </c>
      <c r="B25" s="39" t="str">
        <f>IF('Quote Items'!A14="","",'Quote Items'!E14)</f>
        <v/>
      </c>
      <c r="C25" s="39" t="str">
        <f>IF('Quote Items'!A14="","",'Quote Items'!O14)</f>
        <v/>
      </c>
      <c r="D25" s="39" t="str">
        <f>IF('Quote Items'!A14="","",'Quote Items'!S14)</f>
        <v/>
      </c>
      <c r="E25" s="38" t="str">
        <f>IF('Quote Items'!A14="","",'Quote Items'!F14)</f>
        <v/>
      </c>
      <c r="F25" s="39" t="str">
        <f>IF('Quote Items'!A14="","",'Quote Items'!H14)</f>
        <v/>
      </c>
      <c r="G25" s="39" t="str">
        <f>IF('Quote Items'!A14="","",'Quote Items'!AJ14)</f>
        <v/>
      </c>
      <c r="H25" s="44" t="str">
        <f>IF('Quote Items'!A14="","",'Quote Items'!AQ14)</f>
        <v/>
      </c>
      <c r="I25" s="44" t="str">
        <f>IF('Quote Items'!A14="","",'Quote Items'!AT14)</f>
        <v/>
      </c>
    </row>
    <row r="26" ht="15.75" customHeight="1">
      <c r="A26" s="38" t="str">
        <f>IF('Quote Items'!A15="","",'Quote Items'!A15)</f>
        <v/>
      </c>
      <c r="B26" s="39" t="str">
        <f>IF('Quote Items'!A15="","",'Quote Items'!E15)</f>
        <v/>
      </c>
      <c r="C26" s="39" t="str">
        <f>IF('Quote Items'!A15="","",'Quote Items'!O15)</f>
        <v/>
      </c>
      <c r="D26" s="39" t="str">
        <f>IF('Quote Items'!A15="","",'Quote Items'!S15)</f>
        <v/>
      </c>
      <c r="E26" s="38" t="str">
        <f>IF('Quote Items'!A15="","",'Quote Items'!F15)</f>
        <v/>
      </c>
      <c r="F26" s="39" t="str">
        <f>IF('Quote Items'!A15="","",'Quote Items'!H15)</f>
        <v/>
      </c>
      <c r="G26" s="39" t="str">
        <f>IF('Quote Items'!A15="","",'Quote Items'!AJ15)</f>
        <v/>
      </c>
      <c r="H26" s="44" t="str">
        <f>IF('Quote Items'!A15="","",'Quote Items'!AQ15)</f>
        <v/>
      </c>
      <c r="I26" s="44" t="str">
        <f>IF('Quote Items'!A15="","",'Quote Items'!AT15)</f>
        <v/>
      </c>
    </row>
    <row r="27" ht="15.75" customHeight="1">
      <c r="A27" s="38" t="str">
        <f>IF('Quote Items'!A16="","",'Quote Items'!A16)</f>
        <v/>
      </c>
      <c r="B27" s="39" t="str">
        <f>IF('Quote Items'!A16="","",'Quote Items'!E16)</f>
        <v/>
      </c>
      <c r="C27" s="39" t="str">
        <f>IF('Quote Items'!A16="","",'Quote Items'!O16)</f>
        <v/>
      </c>
      <c r="D27" s="39" t="str">
        <f>IF('Quote Items'!A16="","",'Quote Items'!S16)</f>
        <v/>
      </c>
      <c r="E27" s="38" t="str">
        <f>IF('Quote Items'!A16="","",'Quote Items'!F16)</f>
        <v/>
      </c>
      <c r="F27" s="39" t="str">
        <f>IF('Quote Items'!A16="","",'Quote Items'!H16)</f>
        <v/>
      </c>
      <c r="G27" s="39" t="str">
        <f>IF('Quote Items'!A16="","",'Quote Items'!AJ16)</f>
        <v/>
      </c>
      <c r="H27" s="44" t="str">
        <f>IF('Quote Items'!A16="","",'Quote Items'!AQ16)</f>
        <v/>
      </c>
      <c r="I27" s="44" t="str">
        <f>IF('Quote Items'!A16="","",'Quote Items'!AT16)</f>
        <v/>
      </c>
    </row>
    <row r="28" ht="15.75" customHeight="1">
      <c r="A28" s="38" t="str">
        <f>IF('Quote Items'!A17="","",'Quote Items'!A17)</f>
        <v/>
      </c>
      <c r="B28" s="39" t="str">
        <f>IF('Quote Items'!A17="","",'Quote Items'!E17)</f>
        <v/>
      </c>
      <c r="C28" s="39" t="str">
        <f>IF('Quote Items'!A17="","",'Quote Items'!O17)</f>
        <v/>
      </c>
      <c r="D28" s="39" t="str">
        <f>IF('Quote Items'!A17="","",'Quote Items'!S17)</f>
        <v/>
      </c>
      <c r="E28" s="38" t="str">
        <f>IF('Quote Items'!A17="","",'Quote Items'!F17)</f>
        <v/>
      </c>
      <c r="F28" s="39" t="str">
        <f>IF('Quote Items'!A17="","",'Quote Items'!H17)</f>
        <v/>
      </c>
      <c r="G28" s="39" t="str">
        <f>IF('Quote Items'!A17="","",'Quote Items'!AJ17)</f>
        <v/>
      </c>
      <c r="H28" s="44" t="str">
        <f>IF('Quote Items'!A17="","",'Quote Items'!AQ17)</f>
        <v/>
      </c>
      <c r="I28" s="44" t="str">
        <f>IF('Quote Items'!A17="","",'Quote Items'!AT17)</f>
        <v/>
      </c>
    </row>
    <row r="29" ht="15.75" customHeight="1">
      <c r="A29" s="38" t="str">
        <f>IF('Quote Items'!A18="","",'Quote Items'!A18)</f>
        <v/>
      </c>
      <c r="B29" s="39" t="str">
        <f>IF('Quote Items'!A18="","",'Quote Items'!E18)</f>
        <v/>
      </c>
      <c r="C29" s="39" t="str">
        <f>IF('Quote Items'!A18="","",'Quote Items'!O18)</f>
        <v/>
      </c>
      <c r="D29" s="39" t="str">
        <f>IF('Quote Items'!A18="","",'Quote Items'!S18)</f>
        <v/>
      </c>
      <c r="E29" s="38" t="str">
        <f>IF('Quote Items'!A18="","",'Quote Items'!F18)</f>
        <v/>
      </c>
      <c r="F29" s="39" t="str">
        <f>IF('Quote Items'!A18="","",'Quote Items'!H18)</f>
        <v/>
      </c>
      <c r="G29" s="39" t="str">
        <f>IF('Quote Items'!A18="","",'Quote Items'!AJ18)</f>
        <v/>
      </c>
      <c r="H29" s="44" t="str">
        <f>IF('Quote Items'!A18="","",'Quote Items'!AQ18)</f>
        <v/>
      </c>
      <c r="I29" s="44" t="str">
        <f>IF('Quote Items'!A18="","",'Quote Items'!AT18)</f>
        <v/>
      </c>
    </row>
    <row r="30" ht="15.75" customHeight="1">
      <c r="A30" s="38" t="str">
        <f>IF('Quote Items'!A19="","",'Quote Items'!A19)</f>
        <v/>
      </c>
      <c r="B30" s="39" t="str">
        <f>IF('Quote Items'!A19="","",'Quote Items'!E19)</f>
        <v/>
      </c>
      <c r="C30" s="39" t="str">
        <f>IF('Quote Items'!A19="","",'Quote Items'!O19)</f>
        <v/>
      </c>
      <c r="D30" s="39" t="str">
        <f>IF('Quote Items'!A19="","",'Quote Items'!S19)</f>
        <v/>
      </c>
      <c r="E30" s="38" t="str">
        <f>IF('Quote Items'!A19="","",'Quote Items'!F19)</f>
        <v/>
      </c>
      <c r="F30" s="39" t="str">
        <f>IF('Quote Items'!A19="","",'Quote Items'!H19)</f>
        <v/>
      </c>
      <c r="G30" s="39" t="str">
        <f>IF('Quote Items'!A19="","",'Quote Items'!AJ19)</f>
        <v/>
      </c>
      <c r="H30" s="44" t="str">
        <f>IF('Quote Items'!A19="","",'Quote Items'!AQ19)</f>
        <v/>
      </c>
      <c r="I30" s="44" t="str">
        <f>IF('Quote Items'!A19="","",'Quote Items'!AT19)</f>
        <v/>
      </c>
    </row>
    <row r="31" ht="15.75" customHeight="1">
      <c r="A31" s="38" t="str">
        <f>IF('Quote Items'!A20="","",'Quote Items'!A20)</f>
        <v/>
      </c>
      <c r="B31" s="39" t="str">
        <f>IF('Quote Items'!A20="","",'Quote Items'!E20)</f>
        <v/>
      </c>
      <c r="C31" s="39" t="str">
        <f>IF('Quote Items'!A20="","",'Quote Items'!O20)</f>
        <v/>
      </c>
      <c r="D31" s="39" t="str">
        <f>IF('Quote Items'!A20="","",'Quote Items'!S20)</f>
        <v/>
      </c>
      <c r="E31" s="38" t="str">
        <f>IF('Quote Items'!A20="","",'Quote Items'!F20)</f>
        <v/>
      </c>
      <c r="F31" s="39" t="str">
        <f>IF('Quote Items'!A20="","",'Quote Items'!H20)</f>
        <v/>
      </c>
      <c r="G31" s="39" t="str">
        <f>IF('Quote Items'!A20="","",'Quote Items'!AJ20)</f>
        <v/>
      </c>
      <c r="H31" s="44" t="str">
        <f>IF('Quote Items'!A20="","",'Quote Items'!AQ20)</f>
        <v/>
      </c>
      <c r="I31" s="44" t="str">
        <f>IF('Quote Items'!A20="","",'Quote Items'!AT20)</f>
        <v/>
      </c>
    </row>
    <row r="32" ht="15.75" customHeight="1">
      <c r="A32" s="38" t="str">
        <f>IF('Quote Items'!A21="","",'Quote Items'!A21)</f>
        <v/>
      </c>
      <c r="B32" s="39" t="str">
        <f>IF('Quote Items'!A21="","",'Quote Items'!E21)</f>
        <v/>
      </c>
      <c r="C32" s="39" t="str">
        <f>IF('Quote Items'!A21="","",'Quote Items'!O21)</f>
        <v/>
      </c>
      <c r="D32" s="39" t="str">
        <f>IF('Quote Items'!A21="","",'Quote Items'!S21)</f>
        <v/>
      </c>
      <c r="E32" s="38" t="str">
        <f>IF('Quote Items'!A21="","",'Quote Items'!F21)</f>
        <v/>
      </c>
      <c r="F32" s="39" t="str">
        <f>IF('Quote Items'!A21="","",'Quote Items'!H21)</f>
        <v/>
      </c>
      <c r="G32" s="39" t="str">
        <f>IF('Quote Items'!A21="","",'Quote Items'!AJ21)</f>
        <v/>
      </c>
      <c r="H32" s="44" t="str">
        <f>IF('Quote Items'!A21="","",'Quote Items'!AQ21)</f>
        <v/>
      </c>
      <c r="I32" s="44" t="str">
        <f>IF('Quote Items'!A21="","",'Quote Items'!AT21)</f>
        <v/>
      </c>
    </row>
    <row r="33" ht="15.75" customHeight="1">
      <c r="A33" s="38" t="str">
        <f>IF('Quote Items'!A22="","",'Quote Items'!A22)</f>
        <v/>
      </c>
      <c r="B33" s="39" t="str">
        <f>IF('Quote Items'!A22="","",'Quote Items'!E22)</f>
        <v/>
      </c>
      <c r="C33" s="39" t="str">
        <f>IF('Quote Items'!A22="","",'Quote Items'!O22)</f>
        <v/>
      </c>
      <c r="D33" s="39" t="str">
        <f>IF('Quote Items'!A22="","",'Quote Items'!S22)</f>
        <v/>
      </c>
      <c r="E33" s="38" t="str">
        <f>IF('Quote Items'!A22="","",'Quote Items'!F22)</f>
        <v/>
      </c>
      <c r="F33" s="39" t="str">
        <f>IF('Quote Items'!A22="","",'Quote Items'!H22)</f>
        <v/>
      </c>
      <c r="G33" s="39" t="str">
        <f>IF('Quote Items'!A22="","",'Quote Items'!AJ22)</f>
        <v/>
      </c>
      <c r="H33" s="44" t="str">
        <f>IF('Quote Items'!A22="","",'Quote Items'!AQ22)</f>
        <v/>
      </c>
      <c r="I33" s="44" t="str">
        <f>IF('Quote Items'!A22="","",'Quote Items'!AT22)</f>
        <v/>
      </c>
    </row>
    <row r="34" ht="15.75" customHeight="1">
      <c r="A34" s="38" t="str">
        <f>IF('Quote Items'!A23="","",'Quote Items'!A23)</f>
        <v/>
      </c>
      <c r="B34" s="39" t="str">
        <f>IF('Quote Items'!A23="","",'Quote Items'!E23)</f>
        <v/>
      </c>
      <c r="C34" s="39" t="str">
        <f>IF('Quote Items'!A23="","",'Quote Items'!O23)</f>
        <v/>
      </c>
      <c r="D34" s="39" t="str">
        <f>IF('Quote Items'!A23="","",'Quote Items'!S23)</f>
        <v/>
      </c>
      <c r="E34" s="38" t="str">
        <f>IF('Quote Items'!A23="","",'Quote Items'!F23)</f>
        <v/>
      </c>
      <c r="F34" s="39" t="str">
        <f>IF('Quote Items'!A23="","",'Quote Items'!H23)</f>
        <v/>
      </c>
      <c r="G34" s="39" t="str">
        <f>IF('Quote Items'!A23="","",'Quote Items'!AJ23)</f>
        <v/>
      </c>
      <c r="H34" s="44" t="str">
        <f>IF('Quote Items'!A23="","",'Quote Items'!AQ23)</f>
        <v/>
      </c>
      <c r="I34" s="44" t="str">
        <f>IF('Quote Items'!A23="","",'Quote Items'!AT23)</f>
        <v/>
      </c>
    </row>
    <row r="35" ht="15.75" customHeight="1">
      <c r="A35" s="38" t="str">
        <f>IF('Quote Items'!A24="","",'Quote Items'!A24)</f>
        <v/>
      </c>
      <c r="B35" s="39" t="str">
        <f>IF('Quote Items'!A24="","",'Quote Items'!E24)</f>
        <v/>
      </c>
      <c r="C35" s="39" t="str">
        <f>IF('Quote Items'!A24="","",'Quote Items'!O24)</f>
        <v/>
      </c>
      <c r="D35" s="39" t="str">
        <f>IF('Quote Items'!A24="","",'Quote Items'!S24)</f>
        <v/>
      </c>
      <c r="E35" s="38" t="str">
        <f>IF('Quote Items'!A24="","",'Quote Items'!F24)</f>
        <v/>
      </c>
      <c r="F35" s="39" t="str">
        <f>IF('Quote Items'!A24="","",'Quote Items'!H24)</f>
        <v/>
      </c>
      <c r="G35" s="39" t="str">
        <f>IF('Quote Items'!A24="","",'Quote Items'!AJ24)</f>
        <v/>
      </c>
      <c r="H35" s="44" t="str">
        <f>IF('Quote Items'!A24="","",'Quote Items'!AQ24)</f>
        <v/>
      </c>
      <c r="I35" s="44" t="str">
        <f>IF('Quote Items'!A24="","",'Quote Items'!AT24)</f>
        <v/>
      </c>
    </row>
    <row r="36" ht="15.75" customHeight="1">
      <c r="A36" s="38" t="str">
        <f>IF('Quote Items'!A25="","",'Quote Items'!A25)</f>
        <v/>
      </c>
      <c r="B36" s="39" t="str">
        <f>IF('Quote Items'!A25="","",'Quote Items'!E25)</f>
        <v/>
      </c>
      <c r="C36" s="39" t="str">
        <f>IF('Quote Items'!A25="","",'Quote Items'!O25)</f>
        <v/>
      </c>
      <c r="D36" s="39" t="str">
        <f>IF('Quote Items'!A25="","",'Quote Items'!S25)</f>
        <v/>
      </c>
      <c r="E36" s="38" t="str">
        <f>IF('Quote Items'!A25="","",'Quote Items'!F25)</f>
        <v/>
      </c>
      <c r="F36" s="39" t="str">
        <f>IF('Quote Items'!A25="","",'Quote Items'!H25)</f>
        <v/>
      </c>
      <c r="G36" s="39" t="str">
        <f>IF('Quote Items'!A25="","",'Quote Items'!AJ25)</f>
        <v/>
      </c>
      <c r="H36" s="44" t="str">
        <f>IF('Quote Items'!A25="","",'Quote Items'!AQ25)</f>
        <v/>
      </c>
      <c r="I36" s="44" t="str">
        <f>IF('Quote Items'!A25="","",'Quote Items'!AT25)</f>
        <v/>
      </c>
    </row>
    <row r="37" ht="15.75" customHeight="1">
      <c r="A37" s="38" t="str">
        <f>IF('Quote Items'!A26="","",'Quote Items'!A26)</f>
        <v/>
      </c>
      <c r="B37" s="39" t="str">
        <f>IF('Quote Items'!A26="","",'Quote Items'!E26)</f>
        <v/>
      </c>
      <c r="C37" s="39" t="str">
        <f>IF('Quote Items'!A26="","",'Quote Items'!O26)</f>
        <v/>
      </c>
      <c r="D37" s="39" t="str">
        <f>IF('Quote Items'!A26="","",'Quote Items'!S26)</f>
        <v/>
      </c>
      <c r="E37" s="38" t="str">
        <f>IF('Quote Items'!A26="","",'Quote Items'!F26)</f>
        <v/>
      </c>
      <c r="F37" s="39" t="str">
        <f>IF('Quote Items'!A26="","",'Quote Items'!H26)</f>
        <v/>
      </c>
      <c r="G37" s="39" t="str">
        <f>IF('Quote Items'!A26="","",'Quote Items'!AJ26)</f>
        <v/>
      </c>
      <c r="H37" s="44" t="str">
        <f>IF('Quote Items'!A26="","",'Quote Items'!AQ26)</f>
        <v/>
      </c>
      <c r="I37" s="44" t="str">
        <f>IF('Quote Items'!A26="","",'Quote Items'!AT26)</f>
        <v/>
      </c>
    </row>
    <row r="38" ht="15.75" customHeight="1">
      <c r="A38" s="38" t="str">
        <f>IF('Quote Items'!A27="","",'Quote Items'!A27)</f>
        <v/>
      </c>
      <c r="B38" s="39" t="str">
        <f>IF('Quote Items'!A27="","",'Quote Items'!E27)</f>
        <v/>
      </c>
      <c r="C38" s="39" t="str">
        <f>IF('Quote Items'!A27="","",'Quote Items'!O27)</f>
        <v/>
      </c>
      <c r="D38" s="39" t="str">
        <f>IF('Quote Items'!A27="","",'Quote Items'!S27)</f>
        <v/>
      </c>
      <c r="E38" s="38" t="str">
        <f>IF('Quote Items'!A27="","",'Quote Items'!F27)</f>
        <v/>
      </c>
      <c r="F38" s="39" t="str">
        <f>IF('Quote Items'!A27="","",'Quote Items'!H27)</f>
        <v/>
      </c>
      <c r="G38" s="39" t="str">
        <f>IF('Quote Items'!A27="","",'Quote Items'!AJ27)</f>
        <v/>
      </c>
      <c r="H38" s="44" t="str">
        <f>IF('Quote Items'!A27="","",'Quote Items'!AQ27)</f>
        <v/>
      </c>
      <c r="I38" s="44" t="str">
        <f>IF('Quote Items'!A27="","",'Quote Items'!AT27)</f>
        <v/>
      </c>
    </row>
    <row r="39" ht="15.75" customHeight="1">
      <c r="A39" s="38" t="str">
        <f>IF('Quote Items'!A28="","",'Quote Items'!A28)</f>
        <v/>
      </c>
      <c r="B39" s="39" t="str">
        <f>IF('Quote Items'!A28="","",'Quote Items'!E28)</f>
        <v/>
      </c>
      <c r="C39" s="39" t="str">
        <f>IF('Quote Items'!A28="","",'Quote Items'!O28)</f>
        <v/>
      </c>
      <c r="D39" s="39" t="str">
        <f>IF('Quote Items'!A28="","",'Quote Items'!S28)</f>
        <v/>
      </c>
      <c r="E39" s="38" t="str">
        <f>IF('Quote Items'!A28="","",'Quote Items'!F28)</f>
        <v/>
      </c>
      <c r="F39" s="39" t="str">
        <f>IF('Quote Items'!A28="","",'Quote Items'!H28)</f>
        <v/>
      </c>
      <c r="G39" s="39" t="str">
        <f>IF('Quote Items'!A28="","",'Quote Items'!AJ28)</f>
        <v/>
      </c>
      <c r="H39" s="44" t="str">
        <f>IF('Quote Items'!A28="","",'Quote Items'!AQ28)</f>
        <v/>
      </c>
      <c r="I39" s="44" t="str">
        <f>IF('Quote Items'!A28="","",'Quote Items'!AT28)</f>
        <v/>
      </c>
    </row>
    <row r="40" ht="15.75" customHeight="1">
      <c r="A40" s="38" t="str">
        <f>IF('Quote Items'!A29="","",'Quote Items'!A29)</f>
        <v/>
      </c>
      <c r="B40" s="39" t="str">
        <f>IF('Quote Items'!A29="","",'Quote Items'!E29)</f>
        <v/>
      </c>
      <c r="C40" s="39" t="str">
        <f>IF('Quote Items'!A29="","",'Quote Items'!O29)</f>
        <v/>
      </c>
      <c r="D40" s="39" t="str">
        <f>IF('Quote Items'!A29="","",'Quote Items'!S29)</f>
        <v/>
      </c>
      <c r="E40" s="38" t="str">
        <f>IF('Quote Items'!A29="","",'Quote Items'!F29)</f>
        <v/>
      </c>
      <c r="F40" s="39" t="str">
        <f>IF('Quote Items'!A29="","",'Quote Items'!H29)</f>
        <v/>
      </c>
      <c r="G40" s="39" t="str">
        <f>IF('Quote Items'!A29="","",'Quote Items'!AJ29)</f>
        <v/>
      </c>
      <c r="H40" s="44" t="str">
        <f>IF('Quote Items'!A29="","",'Quote Items'!AQ29)</f>
        <v/>
      </c>
      <c r="I40" s="44" t="str">
        <f>IF('Quote Items'!A29="","",'Quote Items'!AT29)</f>
        <v/>
      </c>
    </row>
    <row r="41" ht="15.75" customHeight="1">
      <c r="A41" s="38" t="str">
        <f>IF('Quote Items'!A30="","",'Quote Items'!A30)</f>
        <v/>
      </c>
      <c r="B41" s="39" t="str">
        <f>IF('Quote Items'!A30="","",'Quote Items'!E30)</f>
        <v/>
      </c>
      <c r="C41" s="39" t="str">
        <f>IF('Quote Items'!A30="","",'Quote Items'!O30)</f>
        <v/>
      </c>
      <c r="D41" s="39" t="str">
        <f>IF('Quote Items'!A30="","",'Quote Items'!S30)</f>
        <v/>
      </c>
      <c r="E41" s="38" t="str">
        <f>IF('Quote Items'!A30="","",'Quote Items'!F30)</f>
        <v/>
      </c>
      <c r="F41" s="39" t="str">
        <f>IF('Quote Items'!A30="","",'Quote Items'!H30)</f>
        <v/>
      </c>
      <c r="G41" s="39" t="str">
        <f>IF('Quote Items'!A30="","",'Quote Items'!AJ30)</f>
        <v/>
      </c>
      <c r="H41" s="44" t="str">
        <f>IF('Quote Items'!A30="","",'Quote Items'!AQ30)</f>
        <v/>
      </c>
      <c r="I41" s="44" t="str">
        <f>IF('Quote Items'!A30="","",'Quote Items'!AT30)</f>
        <v/>
      </c>
    </row>
    <row r="42" ht="15.75" customHeight="1">
      <c r="A42" s="38" t="str">
        <f>IF('Quote Items'!A31="","",'Quote Items'!A31)</f>
        <v/>
      </c>
      <c r="B42" s="39" t="str">
        <f>IF('Quote Items'!A31="","",'Quote Items'!E31)</f>
        <v/>
      </c>
      <c r="C42" s="39" t="str">
        <f>IF('Quote Items'!A31="","",'Quote Items'!O31)</f>
        <v/>
      </c>
      <c r="D42" s="39" t="str">
        <f>IF('Quote Items'!A31="","",'Quote Items'!S31)</f>
        <v/>
      </c>
      <c r="E42" s="38" t="str">
        <f>IF('Quote Items'!A31="","",'Quote Items'!F31)</f>
        <v/>
      </c>
      <c r="F42" s="39" t="str">
        <f>IF('Quote Items'!A31="","",'Quote Items'!H31)</f>
        <v/>
      </c>
      <c r="G42" s="39" t="str">
        <f>IF('Quote Items'!A31="","",'Quote Items'!AJ31)</f>
        <v/>
      </c>
      <c r="H42" s="44" t="str">
        <f>IF('Quote Items'!A31="","",'Quote Items'!AQ31)</f>
        <v/>
      </c>
      <c r="I42" s="44" t="str">
        <f>IF('Quote Items'!A31="","",'Quote Items'!AT31)</f>
        <v/>
      </c>
    </row>
    <row r="43" ht="15.75" customHeight="1">
      <c r="A43" s="38" t="str">
        <f>IF('Quote Items'!A32="","",'Quote Items'!A32)</f>
        <v/>
      </c>
      <c r="B43" s="39" t="str">
        <f>IF('Quote Items'!A32="","",'Quote Items'!E32)</f>
        <v/>
      </c>
      <c r="C43" s="39" t="str">
        <f>IF('Quote Items'!A32="","",'Quote Items'!O32)</f>
        <v/>
      </c>
      <c r="D43" s="39" t="str">
        <f>IF('Quote Items'!A32="","",'Quote Items'!S32)</f>
        <v/>
      </c>
      <c r="E43" s="38" t="str">
        <f>IF('Quote Items'!A32="","",'Quote Items'!F32)</f>
        <v/>
      </c>
      <c r="F43" s="39" t="str">
        <f>IF('Quote Items'!A32="","",'Quote Items'!H32)</f>
        <v/>
      </c>
      <c r="G43" s="39" t="str">
        <f>IF('Quote Items'!A32="","",'Quote Items'!AJ32)</f>
        <v/>
      </c>
      <c r="H43" s="44" t="str">
        <f>IF('Quote Items'!A32="","",'Quote Items'!AQ32)</f>
        <v/>
      </c>
      <c r="I43" s="44" t="str">
        <f>IF('Quote Items'!A32="","",'Quote Items'!AT32)</f>
        <v/>
      </c>
    </row>
    <row r="44" ht="15.75" customHeight="1">
      <c r="A44" s="38" t="str">
        <f>IF('Quote Items'!A33="","",'Quote Items'!A33)</f>
        <v/>
      </c>
      <c r="B44" s="39" t="str">
        <f>IF('Quote Items'!A33="","",'Quote Items'!E33)</f>
        <v/>
      </c>
      <c r="C44" s="39" t="str">
        <f>IF('Quote Items'!A33="","",'Quote Items'!O33)</f>
        <v/>
      </c>
      <c r="D44" s="39" t="str">
        <f>IF('Quote Items'!A33="","",'Quote Items'!S33)</f>
        <v/>
      </c>
      <c r="E44" s="38" t="str">
        <f>IF('Quote Items'!A33="","",'Quote Items'!F33)</f>
        <v/>
      </c>
      <c r="F44" s="39" t="str">
        <f>IF('Quote Items'!A33="","",'Quote Items'!H33)</f>
        <v/>
      </c>
      <c r="G44" s="39" t="str">
        <f>IF('Quote Items'!A33="","",'Quote Items'!AJ33)</f>
        <v/>
      </c>
      <c r="H44" s="44" t="str">
        <f>IF('Quote Items'!A33="","",'Quote Items'!AQ33)</f>
        <v/>
      </c>
      <c r="I44" s="44" t="str">
        <f>IF('Quote Items'!A33="","",'Quote Items'!AT33)</f>
        <v/>
      </c>
    </row>
    <row r="45" ht="15.75" customHeight="1">
      <c r="A45" s="38" t="str">
        <f>IF('Quote Items'!A34="","",'Quote Items'!A34)</f>
        <v/>
      </c>
      <c r="B45" s="39" t="str">
        <f>IF('Quote Items'!A34="","",'Quote Items'!E34)</f>
        <v/>
      </c>
      <c r="C45" s="39" t="str">
        <f>IF('Quote Items'!A34="","",'Quote Items'!O34)</f>
        <v/>
      </c>
      <c r="D45" s="39" t="str">
        <f>IF('Quote Items'!A34="","",'Quote Items'!S34)</f>
        <v/>
      </c>
      <c r="E45" s="38" t="str">
        <f>IF('Quote Items'!A34="","",'Quote Items'!F34)</f>
        <v/>
      </c>
      <c r="F45" s="39" t="str">
        <f>IF('Quote Items'!A34="","",'Quote Items'!H34)</f>
        <v/>
      </c>
      <c r="G45" s="39" t="str">
        <f>IF('Quote Items'!A34="","",'Quote Items'!AJ34)</f>
        <v/>
      </c>
      <c r="H45" s="44" t="str">
        <f>IF('Quote Items'!A34="","",'Quote Items'!AQ34)</f>
        <v/>
      </c>
      <c r="I45" s="44" t="str">
        <f>IF('Quote Items'!A34="","",'Quote Items'!AT34)</f>
        <v/>
      </c>
    </row>
    <row r="46" ht="15.75" customHeight="1">
      <c r="A46" s="38" t="str">
        <f>IF('Quote Items'!A35="","",'Quote Items'!A35)</f>
        <v/>
      </c>
      <c r="B46" s="39" t="str">
        <f>IF('Quote Items'!A35="","",'Quote Items'!E35)</f>
        <v/>
      </c>
      <c r="C46" s="39" t="str">
        <f>IF('Quote Items'!A35="","",'Quote Items'!O35)</f>
        <v/>
      </c>
      <c r="D46" s="39" t="str">
        <f>IF('Quote Items'!A35="","",'Quote Items'!S35)</f>
        <v/>
      </c>
      <c r="E46" s="38" t="str">
        <f>IF('Quote Items'!A35="","",'Quote Items'!F35)</f>
        <v/>
      </c>
      <c r="F46" s="39" t="str">
        <f>IF('Quote Items'!A35="","",'Quote Items'!H35)</f>
        <v/>
      </c>
      <c r="G46" s="39" t="str">
        <f>IF('Quote Items'!A35="","",'Quote Items'!AJ35)</f>
        <v/>
      </c>
      <c r="H46" s="44" t="str">
        <f>IF('Quote Items'!A35="","",'Quote Items'!AQ35)</f>
        <v/>
      </c>
      <c r="I46" s="44" t="str">
        <f>IF('Quote Items'!A35="","",'Quote Items'!AT35)</f>
        <v/>
      </c>
    </row>
    <row r="47" ht="15.75" customHeight="1">
      <c r="A47" s="38" t="str">
        <f>IF('Quote Items'!A36="","",'Quote Items'!A36)</f>
        <v/>
      </c>
      <c r="B47" s="39" t="str">
        <f>IF('Quote Items'!A36="","",'Quote Items'!E36)</f>
        <v/>
      </c>
      <c r="C47" s="39" t="str">
        <f>IF('Quote Items'!A36="","",'Quote Items'!O36)</f>
        <v/>
      </c>
      <c r="D47" s="39" t="str">
        <f>IF('Quote Items'!A36="","",'Quote Items'!S36)</f>
        <v/>
      </c>
      <c r="E47" s="38" t="str">
        <f>IF('Quote Items'!A36="","",'Quote Items'!F36)</f>
        <v/>
      </c>
      <c r="F47" s="39" t="str">
        <f>IF('Quote Items'!A36="","",'Quote Items'!H36)</f>
        <v/>
      </c>
      <c r="G47" s="39" t="str">
        <f>IF('Quote Items'!A36="","",'Quote Items'!AJ36)</f>
        <v/>
      </c>
      <c r="H47" s="44" t="str">
        <f>IF('Quote Items'!A36="","",'Quote Items'!AQ36)</f>
        <v/>
      </c>
      <c r="I47" s="44" t="str">
        <f>IF('Quote Items'!A36="","",'Quote Items'!AT36)</f>
        <v/>
      </c>
    </row>
    <row r="48" ht="15.75" customHeight="1">
      <c r="A48" s="38" t="str">
        <f>IF('Quote Items'!A37="","",'Quote Items'!A37)</f>
        <v/>
      </c>
      <c r="B48" s="39" t="str">
        <f>IF('Quote Items'!A37="","",'Quote Items'!E37)</f>
        <v/>
      </c>
      <c r="C48" s="39" t="str">
        <f>IF('Quote Items'!A37="","",'Quote Items'!O37)</f>
        <v/>
      </c>
      <c r="D48" s="39" t="str">
        <f>IF('Quote Items'!A37="","",'Quote Items'!S37)</f>
        <v/>
      </c>
      <c r="E48" s="38" t="str">
        <f>IF('Quote Items'!A37="","",'Quote Items'!F37)</f>
        <v/>
      </c>
      <c r="F48" s="39" t="str">
        <f>IF('Quote Items'!A37="","",'Quote Items'!H37)</f>
        <v/>
      </c>
      <c r="G48" s="39" t="str">
        <f>IF('Quote Items'!A37="","",'Quote Items'!AJ37)</f>
        <v/>
      </c>
      <c r="H48" s="44" t="str">
        <f>IF('Quote Items'!A37="","",'Quote Items'!AQ37)</f>
        <v/>
      </c>
      <c r="I48" s="44" t="str">
        <f>IF('Quote Items'!A37="","",'Quote Items'!AT37)</f>
        <v/>
      </c>
    </row>
    <row r="49" ht="15.75" customHeight="1">
      <c r="A49" s="38" t="str">
        <f>IF('Quote Items'!A38="","",'Quote Items'!A38)</f>
        <v/>
      </c>
      <c r="B49" s="39" t="str">
        <f>IF('Quote Items'!A38="","",'Quote Items'!E38)</f>
        <v/>
      </c>
      <c r="C49" s="39" t="str">
        <f>IF('Quote Items'!A38="","",'Quote Items'!O38)</f>
        <v/>
      </c>
      <c r="D49" s="39" t="str">
        <f>IF('Quote Items'!A38="","",'Quote Items'!S38)</f>
        <v/>
      </c>
      <c r="E49" s="38" t="str">
        <f>IF('Quote Items'!A38="","",'Quote Items'!F38)</f>
        <v/>
      </c>
      <c r="F49" s="39" t="str">
        <f>IF('Quote Items'!A38="","",'Quote Items'!H38)</f>
        <v/>
      </c>
      <c r="G49" s="39" t="str">
        <f>IF('Quote Items'!A38="","",'Quote Items'!AJ38)</f>
        <v/>
      </c>
      <c r="H49" s="44" t="str">
        <f>IF('Quote Items'!A38="","",'Quote Items'!AQ38)</f>
        <v/>
      </c>
      <c r="I49" s="44" t="str">
        <f>IF('Quote Items'!A38="","",'Quote Items'!AT38)</f>
        <v/>
      </c>
    </row>
    <row r="50" ht="15.75" customHeight="1">
      <c r="A50" s="38" t="str">
        <f>IF('Quote Items'!A39="","",'Quote Items'!A39)</f>
        <v/>
      </c>
      <c r="B50" s="39" t="str">
        <f>IF('Quote Items'!A39="","",'Quote Items'!E39)</f>
        <v/>
      </c>
      <c r="C50" s="39" t="str">
        <f>IF('Quote Items'!A39="","",'Quote Items'!O39)</f>
        <v/>
      </c>
      <c r="D50" s="39" t="str">
        <f>IF('Quote Items'!A39="","",'Quote Items'!S39)</f>
        <v/>
      </c>
      <c r="E50" s="38" t="str">
        <f>IF('Quote Items'!A39="","",'Quote Items'!F39)</f>
        <v/>
      </c>
      <c r="F50" s="39" t="str">
        <f>IF('Quote Items'!A39="","",'Quote Items'!H39)</f>
        <v/>
      </c>
      <c r="G50" s="39" t="str">
        <f>IF('Quote Items'!A39="","",'Quote Items'!AJ39)</f>
        <v/>
      </c>
      <c r="H50" s="44" t="str">
        <f>IF('Quote Items'!A39="","",'Quote Items'!AQ39)</f>
        <v/>
      </c>
      <c r="I50" s="44" t="str">
        <f>IF('Quote Items'!A39="","",'Quote Items'!AT39)</f>
        <v/>
      </c>
    </row>
    <row r="51" ht="15.75" customHeight="1">
      <c r="A51" s="38" t="str">
        <f>IF('Quote Items'!A40="","",'Quote Items'!A40)</f>
        <v/>
      </c>
      <c r="B51" s="39" t="str">
        <f>IF('Quote Items'!A40="","",'Quote Items'!E40)</f>
        <v/>
      </c>
      <c r="C51" s="39" t="str">
        <f>IF('Quote Items'!A40="","",'Quote Items'!O40)</f>
        <v/>
      </c>
      <c r="D51" s="39" t="str">
        <f>IF('Quote Items'!A40="","",'Quote Items'!S40)</f>
        <v/>
      </c>
      <c r="E51" s="38" t="str">
        <f>IF('Quote Items'!A40="","",'Quote Items'!F40)</f>
        <v/>
      </c>
      <c r="F51" s="39" t="str">
        <f>IF('Quote Items'!A40="","",'Quote Items'!H40)</f>
        <v/>
      </c>
      <c r="G51" s="39" t="str">
        <f>IF('Quote Items'!A40="","",'Quote Items'!AJ40)</f>
        <v/>
      </c>
      <c r="H51" s="44" t="str">
        <f>IF('Quote Items'!A40="","",'Quote Items'!AQ40)</f>
        <v/>
      </c>
      <c r="I51" s="44" t="str">
        <f>IF('Quote Items'!A40="","",'Quote Items'!AT40)</f>
        <v/>
      </c>
    </row>
    <row r="52" ht="15.75" customHeight="1">
      <c r="A52" s="38" t="str">
        <f>IF('Quote Items'!A41="","",'Quote Items'!A41)</f>
        <v/>
      </c>
      <c r="B52" s="39" t="str">
        <f>IF('Quote Items'!A41="","",'Quote Items'!E41)</f>
        <v/>
      </c>
      <c r="C52" s="39" t="str">
        <f>IF('Quote Items'!A41="","",'Quote Items'!O41)</f>
        <v/>
      </c>
      <c r="D52" s="39" t="str">
        <f>IF('Quote Items'!A41="","",'Quote Items'!S41)</f>
        <v/>
      </c>
      <c r="E52" s="38" t="str">
        <f>IF('Quote Items'!A41="","",'Quote Items'!F41)</f>
        <v/>
      </c>
      <c r="F52" s="39" t="str">
        <f>IF('Quote Items'!A41="","",'Quote Items'!H41)</f>
        <v/>
      </c>
      <c r="G52" s="39" t="str">
        <f>IF('Quote Items'!A41="","",'Quote Items'!AJ41)</f>
        <v/>
      </c>
      <c r="H52" s="44" t="str">
        <f>IF('Quote Items'!A41="","",'Quote Items'!AQ41)</f>
        <v/>
      </c>
      <c r="I52" s="44" t="str">
        <f>IF('Quote Items'!A41="","",'Quote Items'!AT41)</f>
        <v/>
      </c>
    </row>
    <row r="53" ht="15.75" customHeight="1">
      <c r="A53" s="38" t="str">
        <f>IF('Quote Items'!A42="","",'Quote Items'!A42)</f>
        <v/>
      </c>
      <c r="B53" s="39" t="str">
        <f>IF('Quote Items'!A42="","",'Quote Items'!E42)</f>
        <v/>
      </c>
      <c r="C53" s="39" t="str">
        <f>IF('Quote Items'!A42="","",'Quote Items'!O42)</f>
        <v/>
      </c>
      <c r="D53" s="39" t="str">
        <f>IF('Quote Items'!A42="","",'Quote Items'!S42)</f>
        <v/>
      </c>
      <c r="E53" s="38" t="str">
        <f>IF('Quote Items'!A42="","",'Quote Items'!F42)</f>
        <v/>
      </c>
      <c r="F53" s="39" t="str">
        <f>IF('Quote Items'!A42="","",'Quote Items'!H42)</f>
        <v/>
      </c>
      <c r="G53" s="39" t="str">
        <f>IF('Quote Items'!A42="","",'Quote Items'!AJ42)</f>
        <v/>
      </c>
      <c r="H53" s="44" t="str">
        <f>IF('Quote Items'!A42="","",'Quote Items'!AQ42)</f>
        <v/>
      </c>
      <c r="I53" s="44" t="str">
        <f>IF('Quote Items'!A42="","",'Quote Items'!AT42)</f>
        <v/>
      </c>
    </row>
    <row r="54" ht="15.75" customHeight="1">
      <c r="A54" s="38" t="str">
        <f>IF('Quote Items'!A43="","",'Quote Items'!A43)</f>
        <v/>
      </c>
      <c r="B54" s="39" t="str">
        <f>IF('Quote Items'!A43="","",'Quote Items'!E43)</f>
        <v/>
      </c>
      <c r="C54" s="39" t="str">
        <f>IF('Quote Items'!A43="","",'Quote Items'!O43)</f>
        <v/>
      </c>
      <c r="D54" s="39" t="str">
        <f>IF('Quote Items'!A43="","",'Quote Items'!S43)</f>
        <v/>
      </c>
      <c r="E54" s="38" t="str">
        <f>IF('Quote Items'!A43="","",'Quote Items'!F43)</f>
        <v/>
      </c>
      <c r="F54" s="39" t="str">
        <f>IF('Quote Items'!A43="","",'Quote Items'!H43)</f>
        <v/>
      </c>
      <c r="G54" s="39" t="str">
        <f>IF('Quote Items'!A43="","",'Quote Items'!AJ43)</f>
        <v/>
      </c>
      <c r="H54" s="44" t="str">
        <f>IF('Quote Items'!A43="","",'Quote Items'!AQ43)</f>
        <v/>
      </c>
      <c r="I54" s="44" t="str">
        <f>IF('Quote Items'!A43="","",'Quote Items'!AT43)</f>
        <v/>
      </c>
    </row>
    <row r="55" ht="15.75" customHeight="1">
      <c r="A55" s="38" t="str">
        <f>IF('Quote Items'!A44="","",'Quote Items'!A44)</f>
        <v/>
      </c>
      <c r="B55" s="39" t="str">
        <f>IF('Quote Items'!A44="","",'Quote Items'!E44)</f>
        <v/>
      </c>
      <c r="C55" s="39" t="str">
        <f>IF('Quote Items'!A44="","",'Quote Items'!O44)</f>
        <v/>
      </c>
      <c r="D55" s="39" t="str">
        <f>IF('Quote Items'!A44="","",'Quote Items'!S44)</f>
        <v/>
      </c>
      <c r="E55" s="38" t="str">
        <f>IF('Quote Items'!A44="","",'Quote Items'!F44)</f>
        <v/>
      </c>
      <c r="F55" s="39" t="str">
        <f>IF('Quote Items'!A44="","",'Quote Items'!H44)</f>
        <v/>
      </c>
      <c r="G55" s="39" t="str">
        <f>IF('Quote Items'!A44="","",'Quote Items'!AJ44)</f>
        <v/>
      </c>
      <c r="H55" s="44" t="str">
        <f>IF('Quote Items'!A44="","",'Quote Items'!AQ44)</f>
        <v/>
      </c>
      <c r="I55" s="44" t="str">
        <f>IF('Quote Items'!A44="","",'Quote Items'!AT44)</f>
        <v/>
      </c>
    </row>
    <row r="56" ht="15.75" customHeight="1">
      <c r="A56" s="38" t="str">
        <f>IF('Quote Items'!A45="","",'Quote Items'!A45)</f>
        <v/>
      </c>
      <c r="B56" s="39" t="str">
        <f>IF('Quote Items'!A45="","",'Quote Items'!E45)</f>
        <v/>
      </c>
      <c r="C56" s="39" t="str">
        <f>IF('Quote Items'!A45="","",'Quote Items'!O45)</f>
        <v/>
      </c>
      <c r="D56" s="39" t="str">
        <f>IF('Quote Items'!A45="","",'Quote Items'!S45)</f>
        <v/>
      </c>
      <c r="E56" s="38" t="str">
        <f>IF('Quote Items'!A45="","",'Quote Items'!F45)</f>
        <v/>
      </c>
      <c r="F56" s="39" t="str">
        <f>IF('Quote Items'!A45="","",'Quote Items'!H45)</f>
        <v/>
      </c>
      <c r="G56" s="39" t="str">
        <f>IF('Quote Items'!A45="","",'Quote Items'!AJ45)</f>
        <v/>
      </c>
      <c r="H56" s="44" t="str">
        <f>IF('Quote Items'!A45="","",'Quote Items'!AQ45)</f>
        <v/>
      </c>
      <c r="I56" s="44" t="str">
        <f>IF('Quote Items'!A45="","",'Quote Items'!AT45)</f>
        <v/>
      </c>
    </row>
    <row r="57" ht="15.75" customHeight="1">
      <c r="A57" s="38" t="str">
        <f>IF('Quote Items'!A46="","",'Quote Items'!A46)</f>
        <v/>
      </c>
      <c r="B57" s="39" t="str">
        <f>IF('Quote Items'!A46="","",'Quote Items'!E46)</f>
        <v/>
      </c>
      <c r="C57" s="39" t="str">
        <f>IF('Quote Items'!A46="","",'Quote Items'!O46)</f>
        <v/>
      </c>
      <c r="D57" s="39" t="str">
        <f>IF('Quote Items'!A46="","",'Quote Items'!S46)</f>
        <v/>
      </c>
      <c r="E57" s="38" t="str">
        <f>IF('Quote Items'!A46="","",'Quote Items'!F46)</f>
        <v/>
      </c>
      <c r="F57" s="39" t="str">
        <f>IF('Quote Items'!A46="","",'Quote Items'!H46)</f>
        <v/>
      </c>
      <c r="G57" s="39" t="str">
        <f>IF('Quote Items'!A46="","",'Quote Items'!AJ46)</f>
        <v/>
      </c>
      <c r="H57" s="44" t="str">
        <f>IF('Quote Items'!A46="","",'Quote Items'!AQ46)</f>
        <v/>
      </c>
      <c r="I57" s="44" t="str">
        <f>IF('Quote Items'!A46="","",'Quote Items'!AT46)</f>
        <v/>
      </c>
    </row>
    <row r="58" ht="15.75" customHeight="1">
      <c r="A58" s="38" t="str">
        <f>IF('Quote Items'!A47="","",'Quote Items'!A47)</f>
        <v/>
      </c>
      <c r="B58" s="39" t="str">
        <f>IF('Quote Items'!A47="","",'Quote Items'!E47)</f>
        <v/>
      </c>
      <c r="C58" s="39" t="str">
        <f>IF('Quote Items'!A47="","",'Quote Items'!O47)</f>
        <v/>
      </c>
      <c r="D58" s="39" t="str">
        <f>IF('Quote Items'!A47="","",'Quote Items'!S47)</f>
        <v/>
      </c>
      <c r="E58" s="38" t="str">
        <f>IF('Quote Items'!A47="","",'Quote Items'!F47)</f>
        <v/>
      </c>
      <c r="F58" s="39" t="str">
        <f>IF('Quote Items'!A47="","",'Quote Items'!H47)</f>
        <v/>
      </c>
      <c r="G58" s="39" t="str">
        <f>IF('Quote Items'!A47="","",'Quote Items'!AJ47)</f>
        <v/>
      </c>
      <c r="H58" s="44" t="str">
        <f>IF('Quote Items'!A47="","",'Quote Items'!AQ47)</f>
        <v/>
      </c>
      <c r="I58" s="44" t="str">
        <f>IF('Quote Items'!A47="","",'Quote Items'!AT47)</f>
        <v/>
      </c>
    </row>
    <row r="59" ht="15.75" customHeight="1">
      <c r="A59" s="38" t="str">
        <f>IF('Quote Items'!A48="","",'Quote Items'!A48)</f>
        <v/>
      </c>
      <c r="B59" s="39" t="str">
        <f>IF('Quote Items'!A48="","",'Quote Items'!E48)</f>
        <v/>
      </c>
      <c r="C59" s="39" t="str">
        <f>IF('Quote Items'!A48="","",'Quote Items'!O48)</f>
        <v/>
      </c>
      <c r="D59" s="39" t="str">
        <f>IF('Quote Items'!A48="","",'Quote Items'!S48)</f>
        <v/>
      </c>
      <c r="E59" s="38" t="str">
        <f>IF('Quote Items'!A48="","",'Quote Items'!F48)</f>
        <v/>
      </c>
      <c r="F59" s="39" t="str">
        <f>IF('Quote Items'!A48="","",'Quote Items'!H48)</f>
        <v/>
      </c>
      <c r="G59" s="39" t="str">
        <f>IF('Quote Items'!A48="","",'Quote Items'!AJ48)</f>
        <v/>
      </c>
      <c r="H59" s="44" t="str">
        <f>IF('Quote Items'!A48="","",'Quote Items'!AQ48)</f>
        <v/>
      </c>
      <c r="I59" s="44" t="str">
        <f>IF('Quote Items'!A48="","",'Quote Items'!AT48)</f>
        <v/>
      </c>
    </row>
    <row r="60" ht="15.75" customHeight="1">
      <c r="A60" s="38" t="str">
        <f>IF('Quote Items'!A49="","",'Quote Items'!A49)</f>
        <v/>
      </c>
      <c r="B60" s="39" t="str">
        <f>IF('Quote Items'!A49="","",'Quote Items'!E49)</f>
        <v/>
      </c>
      <c r="C60" s="39" t="str">
        <f>IF('Quote Items'!A49="","",'Quote Items'!O49)</f>
        <v/>
      </c>
      <c r="D60" s="39" t="str">
        <f>IF('Quote Items'!A49="","",'Quote Items'!S49)</f>
        <v/>
      </c>
      <c r="E60" s="38" t="str">
        <f>IF('Quote Items'!A49="","",'Quote Items'!F49)</f>
        <v/>
      </c>
      <c r="F60" s="39" t="str">
        <f>IF('Quote Items'!A49="","",'Quote Items'!H49)</f>
        <v/>
      </c>
      <c r="G60" s="39" t="str">
        <f>IF('Quote Items'!A49="","",'Quote Items'!AJ49)</f>
        <v/>
      </c>
      <c r="H60" s="44" t="str">
        <f>IF('Quote Items'!A49="","",'Quote Items'!AQ49)</f>
        <v/>
      </c>
      <c r="I60" s="44" t="str">
        <f>IF('Quote Items'!A49="","",'Quote Items'!AT49)</f>
        <v/>
      </c>
    </row>
    <row r="61" ht="15.75" customHeight="1">
      <c r="A61" s="38" t="str">
        <f>IF('Quote Items'!A50="","",'Quote Items'!A50)</f>
        <v/>
      </c>
      <c r="B61" s="39" t="str">
        <f>IF('Quote Items'!A50="","",'Quote Items'!E50)</f>
        <v/>
      </c>
      <c r="C61" s="39" t="str">
        <f>IF('Quote Items'!A50="","",'Quote Items'!O50)</f>
        <v/>
      </c>
      <c r="D61" s="39" t="str">
        <f>IF('Quote Items'!A50="","",'Quote Items'!S50)</f>
        <v/>
      </c>
      <c r="E61" s="38" t="str">
        <f>IF('Quote Items'!A50="","",'Quote Items'!F50)</f>
        <v/>
      </c>
      <c r="F61" s="39" t="str">
        <f>IF('Quote Items'!A50="","",'Quote Items'!H50)</f>
        <v/>
      </c>
      <c r="G61" s="39" t="str">
        <f>IF('Quote Items'!A50="","",'Quote Items'!AJ50)</f>
        <v/>
      </c>
      <c r="H61" s="44" t="str">
        <f>IF('Quote Items'!A50="","",'Quote Items'!AQ50)</f>
        <v/>
      </c>
      <c r="I61" s="44" t="str">
        <f>IF('Quote Items'!A50="","",'Quote Items'!AT50)</f>
        <v/>
      </c>
    </row>
    <row r="62" ht="15.75" customHeight="1">
      <c r="A62" s="38" t="str">
        <f>IF('Quote Items'!A51="","",'Quote Items'!A51)</f>
        <v/>
      </c>
      <c r="B62" s="39" t="str">
        <f>IF('Quote Items'!A51="","",'Quote Items'!E51)</f>
        <v/>
      </c>
      <c r="C62" s="39" t="str">
        <f>IF('Quote Items'!A51="","",'Quote Items'!O51)</f>
        <v/>
      </c>
      <c r="D62" s="39" t="str">
        <f>IF('Quote Items'!A51="","",'Quote Items'!S51)</f>
        <v/>
      </c>
      <c r="E62" s="38" t="str">
        <f>IF('Quote Items'!A51="","",'Quote Items'!F51)</f>
        <v/>
      </c>
      <c r="F62" s="39" t="str">
        <f>IF('Quote Items'!A51="","",'Quote Items'!H51)</f>
        <v/>
      </c>
      <c r="G62" s="39" t="str">
        <f>IF('Quote Items'!A51="","",'Quote Items'!AJ51)</f>
        <v/>
      </c>
      <c r="H62" s="44" t="str">
        <f>IF('Quote Items'!A51="","",'Quote Items'!AQ51)</f>
        <v/>
      </c>
      <c r="I62" s="44" t="str">
        <f>IF('Quote Items'!A51="","",'Quote Items'!AT51)</f>
        <v/>
      </c>
    </row>
    <row r="63" ht="15.75" customHeight="1">
      <c r="A63" s="38" t="str">
        <f>IF('Quote Items'!A52="","",'Quote Items'!A52)</f>
        <v/>
      </c>
      <c r="B63" s="39" t="str">
        <f>IF('Quote Items'!A52="","",'Quote Items'!E52)</f>
        <v/>
      </c>
      <c r="C63" s="39" t="str">
        <f>IF('Quote Items'!A52="","",'Quote Items'!O52)</f>
        <v/>
      </c>
      <c r="D63" s="39" t="str">
        <f>IF('Quote Items'!A52="","",'Quote Items'!S52)</f>
        <v/>
      </c>
      <c r="E63" s="38" t="str">
        <f>IF('Quote Items'!A52="","",'Quote Items'!F52)</f>
        <v/>
      </c>
      <c r="F63" s="39" t="str">
        <f>IF('Quote Items'!A52="","",'Quote Items'!H52)</f>
        <v/>
      </c>
      <c r="G63" s="39" t="str">
        <f>IF('Quote Items'!A52="","",'Quote Items'!AJ52)</f>
        <v/>
      </c>
      <c r="H63" s="44" t="str">
        <f>IF('Quote Items'!A52="","",'Quote Items'!AQ52)</f>
        <v/>
      </c>
      <c r="I63" s="44" t="str">
        <f>IF('Quote Items'!A52="","",'Quote Items'!AT52)</f>
        <v/>
      </c>
    </row>
    <row r="64" ht="15.75" customHeight="1">
      <c r="A64" s="38" t="str">
        <f>IF('Quote Items'!A53="","",'Quote Items'!A53)</f>
        <v/>
      </c>
      <c r="B64" s="39" t="str">
        <f>IF('Quote Items'!A53="","",'Quote Items'!E53)</f>
        <v/>
      </c>
      <c r="C64" s="39" t="str">
        <f>IF('Quote Items'!A53="","",'Quote Items'!O53)</f>
        <v/>
      </c>
      <c r="D64" s="39" t="str">
        <f>IF('Quote Items'!A53="","",'Quote Items'!S53)</f>
        <v/>
      </c>
      <c r="E64" s="38" t="str">
        <f>IF('Quote Items'!A53="","",'Quote Items'!F53)</f>
        <v/>
      </c>
      <c r="F64" s="39" t="str">
        <f>IF('Quote Items'!A53="","",'Quote Items'!H53)</f>
        <v/>
      </c>
      <c r="G64" s="39" t="str">
        <f>IF('Quote Items'!A53="","",'Quote Items'!AJ53)</f>
        <v/>
      </c>
      <c r="H64" s="44" t="str">
        <f>IF('Quote Items'!A53="","",'Quote Items'!AQ53)</f>
        <v/>
      </c>
      <c r="I64" s="44" t="str">
        <f>IF('Quote Items'!A53="","",'Quote Items'!AT53)</f>
        <v/>
      </c>
    </row>
    <row r="65" ht="15.75" customHeight="1">
      <c r="A65" s="38" t="str">
        <f>IF('Quote Items'!A54="","",'Quote Items'!A54)</f>
        <v/>
      </c>
      <c r="B65" s="39" t="str">
        <f>IF('Quote Items'!A54="","",'Quote Items'!E54)</f>
        <v/>
      </c>
      <c r="C65" s="39" t="str">
        <f>IF('Quote Items'!A54="","",'Quote Items'!O54)</f>
        <v/>
      </c>
      <c r="D65" s="39" t="str">
        <f>IF('Quote Items'!A54="","",'Quote Items'!S54)</f>
        <v/>
      </c>
      <c r="E65" s="38" t="str">
        <f>IF('Quote Items'!A54="","",'Quote Items'!F54)</f>
        <v/>
      </c>
      <c r="F65" s="39" t="str">
        <f>IF('Quote Items'!A54="","",'Quote Items'!H54)</f>
        <v/>
      </c>
      <c r="G65" s="39" t="str">
        <f>IF('Quote Items'!A54="","",'Quote Items'!AJ54)</f>
        <v/>
      </c>
      <c r="H65" s="44" t="str">
        <f>IF('Quote Items'!A54="","",'Quote Items'!AQ54)</f>
        <v/>
      </c>
      <c r="I65" s="44" t="str">
        <f>IF('Quote Items'!A54="","",'Quote Items'!AT54)</f>
        <v/>
      </c>
    </row>
    <row r="66" ht="15.75" customHeight="1">
      <c r="A66" s="38" t="str">
        <f>IF('Quote Items'!A55="","",'Quote Items'!A55)</f>
        <v/>
      </c>
      <c r="B66" s="39" t="str">
        <f>IF('Quote Items'!A55="","",'Quote Items'!E55)</f>
        <v/>
      </c>
      <c r="C66" s="39" t="str">
        <f>IF('Quote Items'!A55="","",'Quote Items'!O55)</f>
        <v/>
      </c>
      <c r="D66" s="39" t="str">
        <f>IF('Quote Items'!A55="","",'Quote Items'!S55)</f>
        <v/>
      </c>
      <c r="E66" s="38" t="str">
        <f>IF('Quote Items'!A55="","",'Quote Items'!F55)</f>
        <v/>
      </c>
      <c r="F66" s="39" t="str">
        <f>IF('Quote Items'!A55="","",'Quote Items'!H55)</f>
        <v/>
      </c>
      <c r="G66" s="39" t="str">
        <f>IF('Quote Items'!A55="","",'Quote Items'!AJ55)</f>
        <v/>
      </c>
      <c r="H66" s="44" t="str">
        <f>IF('Quote Items'!A55="","",'Quote Items'!AQ55)</f>
        <v/>
      </c>
      <c r="I66" s="44" t="str">
        <f>IF('Quote Items'!A55="","",'Quote Items'!AT55)</f>
        <v/>
      </c>
    </row>
    <row r="67" ht="15.75" customHeight="1">
      <c r="A67" s="38" t="str">
        <f>IF('Quote Items'!A56="","",'Quote Items'!A56)</f>
        <v/>
      </c>
      <c r="B67" s="39" t="str">
        <f>IF('Quote Items'!A56="","",'Quote Items'!E56)</f>
        <v/>
      </c>
      <c r="C67" s="39" t="str">
        <f>IF('Quote Items'!A56="","",'Quote Items'!O56)</f>
        <v/>
      </c>
      <c r="D67" s="39" t="str">
        <f>IF('Quote Items'!A56="","",'Quote Items'!S56)</f>
        <v/>
      </c>
      <c r="E67" s="38" t="str">
        <f>IF('Quote Items'!A56="","",'Quote Items'!F56)</f>
        <v/>
      </c>
      <c r="F67" s="39" t="str">
        <f>IF('Quote Items'!A56="","",'Quote Items'!H56)</f>
        <v/>
      </c>
      <c r="G67" s="39" t="str">
        <f>IF('Quote Items'!A56="","",'Quote Items'!AJ56)</f>
        <v/>
      </c>
      <c r="H67" s="44" t="str">
        <f>IF('Quote Items'!A56="","",'Quote Items'!AQ56)</f>
        <v/>
      </c>
      <c r="I67" s="44" t="str">
        <f>IF('Quote Items'!A56="","",'Quote Items'!AT56)</f>
        <v/>
      </c>
    </row>
    <row r="68" ht="15.75" customHeight="1">
      <c r="A68" s="38" t="str">
        <f>IF('Quote Items'!A57="","",'Quote Items'!A57)</f>
        <v/>
      </c>
      <c r="B68" s="39" t="str">
        <f>IF('Quote Items'!A57="","",'Quote Items'!E57)</f>
        <v/>
      </c>
      <c r="C68" s="39" t="str">
        <f>IF('Quote Items'!A57="","",'Quote Items'!O57)</f>
        <v/>
      </c>
      <c r="D68" s="39" t="str">
        <f>IF('Quote Items'!A57="","",'Quote Items'!S57)</f>
        <v/>
      </c>
      <c r="E68" s="38" t="str">
        <f>IF('Quote Items'!A57="","",'Quote Items'!F57)</f>
        <v/>
      </c>
      <c r="F68" s="39" t="str">
        <f>IF('Quote Items'!A57="","",'Quote Items'!H57)</f>
        <v/>
      </c>
      <c r="G68" s="39" t="str">
        <f>IF('Quote Items'!A57="","",'Quote Items'!AJ57)</f>
        <v/>
      </c>
      <c r="H68" s="44" t="str">
        <f>IF('Quote Items'!A57="","",'Quote Items'!AQ57)</f>
        <v/>
      </c>
      <c r="I68" s="44" t="str">
        <f>IF('Quote Items'!A57="","",'Quote Items'!AT57)</f>
        <v/>
      </c>
    </row>
    <row r="69" ht="15.75" customHeight="1">
      <c r="A69" s="38" t="str">
        <f>IF('Quote Items'!A58="","",'Quote Items'!A58)</f>
        <v/>
      </c>
      <c r="B69" s="39" t="str">
        <f>IF('Quote Items'!A58="","",'Quote Items'!E58)</f>
        <v/>
      </c>
      <c r="C69" s="39" t="str">
        <f>IF('Quote Items'!A58="","",'Quote Items'!O58)</f>
        <v/>
      </c>
      <c r="D69" s="39" t="str">
        <f>IF('Quote Items'!A58="","",'Quote Items'!S58)</f>
        <v/>
      </c>
      <c r="E69" s="38" t="str">
        <f>IF('Quote Items'!A58="","",'Quote Items'!F58)</f>
        <v/>
      </c>
      <c r="F69" s="39" t="str">
        <f>IF('Quote Items'!A58="","",'Quote Items'!H58)</f>
        <v/>
      </c>
      <c r="G69" s="39" t="str">
        <f>IF('Quote Items'!A58="","",'Quote Items'!AJ58)</f>
        <v/>
      </c>
      <c r="H69" s="44" t="str">
        <f>IF('Quote Items'!A58="","",'Quote Items'!AQ58)</f>
        <v/>
      </c>
      <c r="I69" s="44" t="str">
        <f>IF('Quote Items'!A58="","",'Quote Items'!AT58)</f>
        <v/>
      </c>
    </row>
    <row r="70" ht="15.75" customHeight="1">
      <c r="A70" s="38" t="str">
        <f>IF('Quote Items'!A59="","",'Quote Items'!A59)</f>
        <v/>
      </c>
      <c r="B70" s="39" t="str">
        <f>IF('Quote Items'!A59="","",'Quote Items'!E59)</f>
        <v/>
      </c>
      <c r="C70" s="39" t="str">
        <f>IF('Quote Items'!A59="","",'Quote Items'!O59)</f>
        <v/>
      </c>
      <c r="D70" s="39" t="str">
        <f>IF('Quote Items'!A59="","",'Quote Items'!S59)</f>
        <v/>
      </c>
      <c r="E70" s="38" t="str">
        <f>IF('Quote Items'!A59="","",'Quote Items'!F59)</f>
        <v/>
      </c>
      <c r="F70" s="39" t="str">
        <f>IF('Quote Items'!A59="","",'Quote Items'!H59)</f>
        <v/>
      </c>
      <c r="G70" s="39" t="str">
        <f>IF('Quote Items'!A59="","",'Quote Items'!AJ59)</f>
        <v/>
      </c>
      <c r="H70" s="44" t="str">
        <f>IF('Quote Items'!A59="","",'Quote Items'!AQ59)</f>
        <v/>
      </c>
      <c r="I70" s="44" t="str">
        <f>IF('Quote Items'!A59="","",'Quote Items'!AT59)</f>
        <v/>
      </c>
    </row>
    <row r="71" ht="15.75" customHeight="1">
      <c r="A71" s="38" t="str">
        <f>IF('Quote Items'!A60="","",'Quote Items'!A60)</f>
        <v/>
      </c>
      <c r="B71" s="39" t="str">
        <f>IF('Quote Items'!A60="","",'Quote Items'!E60)</f>
        <v/>
      </c>
      <c r="C71" s="39" t="str">
        <f>IF('Quote Items'!A60="","",'Quote Items'!O60)</f>
        <v/>
      </c>
      <c r="D71" s="39" t="str">
        <f>IF('Quote Items'!A60="","",'Quote Items'!S60)</f>
        <v/>
      </c>
      <c r="E71" s="38" t="str">
        <f>IF('Quote Items'!A60="","",'Quote Items'!F60)</f>
        <v/>
      </c>
      <c r="F71" s="39" t="str">
        <f>IF('Quote Items'!A60="","",'Quote Items'!H60)</f>
        <v/>
      </c>
      <c r="G71" s="39" t="str">
        <f>IF('Quote Items'!A60="","",'Quote Items'!AJ60)</f>
        <v/>
      </c>
      <c r="H71" s="44" t="str">
        <f>IF('Quote Items'!A60="","",'Quote Items'!AQ60)</f>
        <v/>
      </c>
      <c r="I71" s="44" t="str">
        <f>IF('Quote Items'!A60="","",'Quote Items'!AT60)</f>
        <v/>
      </c>
    </row>
    <row r="72" ht="15.75" customHeight="1">
      <c r="A72" s="38" t="str">
        <f>IF('Quote Items'!A61="","",'Quote Items'!A61)</f>
        <v/>
      </c>
      <c r="B72" s="39" t="str">
        <f>IF('Quote Items'!A61="","",'Quote Items'!E61)</f>
        <v/>
      </c>
      <c r="C72" s="39" t="str">
        <f>IF('Quote Items'!A61="","",'Quote Items'!O61)</f>
        <v/>
      </c>
      <c r="D72" s="39" t="str">
        <f>IF('Quote Items'!A61="","",'Quote Items'!S61)</f>
        <v/>
      </c>
      <c r="E72" s="38" t="str">
        <f>IF('Quote Items'!A61="","",'Quote Items'!F61)</f>
        <v/>
      </c>
      <c r="F72" s="39" t="str">
        <f>IF('Quote Items'!A61="","",'Quote Items'!H61)</f>
        <v/>
      </c>
      <c r="G72" s="39" t="str">
        <f>IF('Quote Items'!A61="","",'Quote Items'!AJ61)</f>
        <v/>
      </c>
      <c r="H72" s="44" t="str">
        <f>IF('Quote Items'!A61="","",'Quote Items'!AQ61)</f>
        <v/>
      </c>
      <c r="I72" s="44" t="str">
        <f>IF('Quote Items'!A61="","",'Quote Items'!AT61)</f>
        <v/>
      </c>
    </row>
    <row r="73" ht="15.75" customHeight="1">
      <c r="A73" s="38" t="str">
        <f>IF('Quote Items'!A62="","",'Quote Items'!A62)</f>
        <v/>
      </c>
      <c r="B73" s="39" t="str">
        <f>IF('Quote Items'!A62="","",'Quote Items'!E62)</f>
        <v/>
      </c>
      <c r="C73" s="39" t="str">
        <f>IF('Quote Items'!A62="","",'Quote Items'!O62)</f>
        <v/>
      </c>
      <c r="D73" s="39" t="str">
        <f>IF('Quote Items'!A62="","",'Quote Items'!S62)</f>
        <v/>
      </c>
      <c r="E73" s="38" t="str">
        <f>IF('Quote Items'!A62="","",'Quote Items'!F62)</f>
        <v/>
      </c>
      <c r="F73" s="39" t="str">
        <f>IF('Quote Items'!A62="","",'Quote Items'!H62)</f>
        <v/>
      </c>
      <c r="G73" s="39" t="str">
        <f>IF('Quote Items'!A62="","",'Quote Items'!AJ62)</f>
        <v/>
      </c>
      <c r="H73" s="44" t="str">
        <f>IF('Quote Items'!A62="","",'Quote Items'!AQ62)</f>
        <v/>
      </c>
      <c r="I73" s="44" t="str">
        <f>IF('Quote Items'!A62="","",'Quote Items'!AT62)</f>
        <v/>
      </c>
    </row>
    <row r="74" ht="15.75" customHeight="1">
      <c r="A74" s="38" t="str">
        <f>IF('Quote Items'!A63="","",'Quote Items'!A63)</f>
        <v/>
      </c>
      <c r="B74" s="39" t="str">
        <f>IF('Quote Items'!A63="","",'Quote Items'!E63)</f>
        <v/>
      </c>
      <c r="C74" s="39" t="str">
        <f>IF('Quote Items'!A63="","",'Quote Items'!O63)</f>
        <v/>
      </c>
      <c r="D74" s="39" t="str">
        <f>IF('Quote Items'!A63="","",'Quote Items'!S63)</f>
        <v/>
      </c>
      <c r="E74" s="38" t="str">
        <f>IF('Quote Items'!A63="","",'Quote Items'!F63)</f>
        <v/>
      </c>
      <c r="F74" s="39" t="str">
        <f>IF('Quote Items'!A63="","",'Quote Items'!H63)</f>
        <v/>
      </c>
      <c r="G74" s="39" t="str">
        <f>IF('Quote Items'!A63="","",'Quote Items'!AJ63)</f>
        <v/>
      </c>
      <c r="H74" s="44" t="str">
        <f>IF('Quote Items'!A63="","",'Quote Items'!AQ63)</f>
        <v/>
      </c>
      <c r="I74" s="44" t="str">
        <f>IF('Quote Items'!A63="","",'Quote Items'!AT63)</f>
        <v/>
      </c>
    </row>
    <row r="75" ht="15.75" customHeight="1">
      <c r="A75" s="38" t="str">
        <f>IF('Quote Items'!A64="","",'Quote Items'!A64)</f>
        <v/>
      </c>
      <c r="B75" s="39" t="str">
        <f>IF('Quote Items'!A64="","",'Quote Items'!E64)</f>
        <v/>
      </c>
      <c r="C75" s="39" t="str">
        <f>IF('Quote Items'!A64="","",'Quote Items'!O64)</f>
        <v/>
      </c>
      <c r="D75" s="39" t="str">
        <f>IF('Quote Items'!A64="","",'Quote Items'!S64)</f>
        <v/>
      </c>
      <c r="E75" s="38" t="str">
        <f>IF('Quote Items'!A64="","",'Quote Items'!F64)</f>
        <v/>
      </c>
      <c r="F75" s="39" t="str">
        <f>IF('Quote Items'!A64="","",'Quote Items'!H64)</f>
        <v/>
      </c>
      <c r="G75" s="39" t="str">
        <f>IF('Quote Items'!A64="","",'Quote Items'!AJ64)</f>
        <v/>
      </c>
      <c r="H75" s="44" t="str">
        <f>IF('Quote Items'!A64="","",'Quote Items'!AQ64)</f>
        <v/>
      </c>
      <c r="I75" s="44" t="str">
        <f>IF('Quote Items'!A64="","",'Quote Items'!AT64)</f>
        <v/>
      </c>
    </row>
    <row r="76" ht="15.75" customHeight="1">
      <c r="A76" s="38" t="str">
        <f>IF('Quote Items'!A65="","",'Quote Items'!A65)</f>
        <v/>
      </c>
      <c r="B76" s="39" t="str">
        <f>IF('Quote Items'!A65="","",'Quote Items'!E65)</f>
        <v/>
      </c>
      <c r="C76" s="39" t="str">
        <f>IF('Quote Items'!A65="","",'Quote Items'!O65)</f>
        <v/>
      </c>
      <c r="D76" s="39" t="str">
        <f>IF('Quote Items'!A65="","",'Quote Items'!S65)</f>
        <v/>
      </c>
      <c r="E76" s="38" t="str">
        <f>IF('Quote Items'!A65="","",'Quote Items'!F65)</f>
        <v/>
      </c>
      <c r="F76" s="39" t="str">
        <f>IF('Quote Items'!A65="","",'Quote Items'!H65)</f>
        <v/>
      </c>
      <c r="G76" s="39" t="str">
        <f>IF('Quote Items'!A65="","",'Quote Items'!AJ65)</f>
        <v/>
      </c>
      <c r="H76" s="44" t="str">
        <f>IF('Quote Items'!A65="","",'Quote Items'!AQ65)</f>
        <v/>
      </c>
      <c r="I76" s="44" t="str">
        <f>IF('Quote Items'!A65="","",'Quote Items'!AT65)</f>
        <v/>
      </c>
    </row>
    <row r="77" ht="15.75" customHeight="1">
      <c r="A77" s="38" t="str">
        <f>IF('Quote Items'!A66="","",'Quote Items'!A66)</f>
        <v/>
      </c>
      <c r="B77" s="39" t="str">
        <f>IF('Quote Items'!A66="","",'Quote Items'!E66)</f>
        <v/>
      </c>
      <c r="C77" s="39" t="str">
        <f>IF('Quote Items'!A66="","",'Quote Items'!O66)</f>
        <v/>
      </c>
      <c r="D77" s="39" t="str">
        <f>IF('Quote Items'!A66="","",'Quote Items'!S66)</f>
        <v/>
      </c>
      <c r="E77" s="38" t="str">
        <f>IF('Quote Items'!A66="","",'Quote Items'!F66)</f>
        <v/>
      </c>
      <c r="F77" s="39" t="str">
        <f>IF('Quote Items'!A66="","",'Quote Items'!H66)</f>
        <v/>
      </c>
      <c r="G77" s="39" t="str">
        <f>IF('Quote Items'!A66="","",'Quote Items'!AJ66)</f>
        <v/>
      </c>
      <c r="H77" s="44" t="str">
        <f>IF('Quote Items'!A66="","",'Quote Items'!AQ66)</f>
        <v/>
      </c>
      <c r="I77" s="44" t="str">
        <f>IF('Quote Items'!A66="","",'Quote Items'!AT66)</f>
        <v/>
      </c>
    </row>
    <row r="78" ht="15.75" customHeight="1">
      <c r="A78" s="38" t="str">
        <f>IF('Quote Items'!A67="","",'Quote Items'!A67)</f>
        <v/>
      </c>
      <c r="B78" s="39" t="str">
        <f>IF('Quote Items'!A67="","",'Quote Items'!E67)</f>
        <v/>
      </c>
      <c r="C78" s="39" t="str">
        <f>IF('Quote Items'!A67="","",'Quote Items'!O67)</f>
        <v/>
      </c>
      <c r="D78" s="39" t="str">
        <f>IF('Quote Items'!A67="","",'Quote Items'!S67)</f>
        <v/>
      </c>
      <c r="E78" s="38" t="str">
        <f>IF('Quote Items'!A67="","",'Quote Items'!F67)</f>
        <v/>
      </c>
      <c r="F78" s="39" t="str">
        <f>IF('Quote Items'!A67="","",'Quote Items'!H67)</f>
        <v/>
      </c>
      <c r="G78" s="39" t="str">
        <f>IF('Quote Items'!A67="","",'Quote Items'!AJ67)</f>
        <v/>
      </c>
      <c r="H78" s="44" t="str">
        <f>IF('Quote Items'!A67="","",'Quote Items'!AQ67)</f>
        <v/>
      </c>
      <c r="I78" s="44" t="str">
        <f>IF('Quote Items'!A67="","",'Quote Items'!AT67)</f>
        <v/>
      </c>
    </row>
    <row r="79" ht="15.75" customHeight="1">
      <c r="A79" s="38" t="str">
        <f>IF('Quote Items'!A68="","",'Quote Items'!A68)</f>
        <v/>
      </c>
      <c r="B79" s="39" t="str">
        <f>IF('Quote Items'!A68="","",'Quote Items'!E68)</f>
        <v/>
      </c>
      <c r="C79" s="39" t="str">
        <f>IF('Quote Items'!A68="","",'Quote Items'!O68)</f>
        <v/>
      </c>
      <c r="D79" s="39" t="str">
        <f>IF('Quote Items'!A68="","",'Quote Items'!S68)</f>
        <v/>
      </c>
      <c r="E79" s="38" t="str">
        <f>IF('Quote Items'!A68="","",'Quote Items'!F68)</f>
        <v/>
      </c>
      <c r="F79" s="39" t="str">
        <f>IF('Quote Items'!A68="","",'Quote Items'!H68)</f>
        <v/>
      </c>
      <c r="G79" s="39" t="str">
        <f>IF('Quote Items'!A68="","",'Quote Items'!AJ68)</f>
        <v/>
      </c>
      <c r="H79" s="44" t="str">
        <f>IF('Quote Items'!A68="","",'Quote Items'!AQ68)</f>
        <v/>
      </c>
      <c r="I79" s="44" t="str">
        <f>IF('Quote Items'!A68="","",'Quote Items'!AT68)</f>
        <v/>
      </c>
    </row>
    <row r="80" ht="15.75" customHeight="1">
      <c r="A80" s="38" t="str">
        <f>IF('Quote Items'!A69="","",'Quote Items'!A69)</f>
        <v/>
      </c>
      <c r="B80" s="39" t="str">
        <f>IF('Quote Items'!A69="","",'Quote Items'!E69)</f>
        <v/>
      </c>
      <c r="C80" s="39" t="str">
        <f>IF('Quote Items'!A69="","",'Quote Items'!O69)</f>
        <v/>
      </c>
      <c r="D80" s="39" t="str">
        <f>IF('Quote Items'!A69="","",'Quote Items'!S69)</f>
        <v/>
      </c>
      <c r="E80" s="38" t="str">
        <f>IF('Quote Items'!A69="","",'Quote Items'!F69)</f>
        <v/>
      </c>
      <c r="F80" s="39" t="str">
        <f>IF('Quote Items'!A69="","",'Quote Items'!H69)</f>
        <v/>
      </c>
      <c r="G80" s="39" t="str">
        <f>IF('Quote Items'!A69="","",'Quote Items'!AJ69)</f>
        <v/>
      </c>
      <c r="H80" s="44" t="str">
        <f>IF('Quote Items'!A69="","",'Quote Items'!AQ69)</f>
        <v/>
      </c>
      <c r="I80" s="44" t="str">
        <f>IF('Quote Items'!A69="","",'Quote Items'!AT69)</f>
        <v/>
      </c>
    </row>
    <row r="81" ht="15.75" customHeight="1">
      <c r="A81" s="38" t="str">
        <f>IF('Quote Items'!A70="","",'Quote Items'!A70)</f>
        <v/>
      </c>
      <c r="B81" s="39" t="str">
        <f>IF('Quote Items'!A70="","",'Quote Items'!E70)</f>
        <v/>
      </c>
      <c r="C81" s="39" t="str">
        <f>IF('Quote Items'!A70="","",'Quote Items'!O70)</f>
        <v/>
      </c>
      <c r="D81" s="39" t="str">
        <f>IF('Quote Items'!A70="","",'Quote Items'!S70)</f>
        <v/>
      </c>
      <c r="E81" s="38" t="str">
        <f>IF('Quote Items'!A70="","",'Quote Items'!F70)</f>
        <v/>
      </c>
      <c r="F81" s="39" t="str">
        <f>IF('Quote Items'!A70="","",'Quote Items'!H70)</f>
        <v/>
      </c>
      <c r="G81" s="39" t="str">
        <f>IF('Quote Items'!A70="","",'Quote Items'!AJ70)</f>
        <v/>
      </c>
      <c r="H81" s="44" t="str">
        <f>IF('Quote Items'!A70="","",'Quote Items'!AQ70)</f>
        <v/>
      </c>
      <c r="I81" s="44" t="str">
        <f>IF('Quote Items'!A70="","",'Quote Items'!AT70)</f>
        <v/>
      </c>
    </row>
    <row r="82" ht="15.75" customHeight="1">
      <c r="A82" s="38" t="str">
        <f>IF('Quote Items'!A71="","",'Quote Items'!A71)</f>
        <v/>
      </c>
      <c r="B82" s="39" t="str">
        <f>IF('Quote Items'!A71="","",'Quote Items'!E71)</f>
        <v/>
      </c>
      <c r="C82" s="39" t="str">
        <f>IF('Quote Items'!A71="","",'Quote Items'!O71)</f>
        <v/>
      </c>
      <c r="D82" s="39" t="str">
        <f>IF('Quote Items'!A71="","",'Quote Items'!S71)</f>
        <v/>
      </c>
      <c r="E82" s="38" t="str">
        <f>IF('Quote Items'!A71="","",'Quote Items'!F71)</f>
        <v/>
      </c>
      <c r="F82" s="39" t="str">
        <f>IF('Quote Items'!A71="","",'Quote Items'!H71)</f>
        <v/>
      </c>
      <c r="G82" s="39" t="str">
        <f>IF('Quote Items'!A71="","",'Quote Items'!AJ71)</f>
        <v/>
      </c>
      <c r="H82" s="44" t="str">
        <f>IF('Quote Items'!A71="","",'Quote Items'!AQ71)</f>
        <v/>
      </c>
      <c r="I82" s="44" t="str">
        <f>IF('Quote Items'!A71="","",'Quote Items'!AT71)</f>
        <v/>
      </c>
    </row>
    <row r="83" ht="15.75" customHeight="1">
      <c r="A83" s="38" t="str">
        <f>IF('Quote Items'!A72="","",'Quote Items'!A72)</f>
        <v/>
      </c>
      <c r="B83" s="39" t="str">
        <f>IF('Quote Items'!A72="","",'Quote Items'!E72)</f>
        <v/>
      </c>
      <c r="C83" s="39" t="str">
        <f>IF('Quote Items'!A72="","",'Quote Items'!O72)</f>
        <v/>
      </c>
      <c r="D83" s="39" t="str">
        <f>IF('Quote Items'!A72="","",'Quote Items'!S72)</f>
        <v/>
      </c>
      <c r="E83" s="38" t="str">
        <f>IF('Quote Items'!A72="","",'Quote Items'!F72)</f>
        <v/>
      </c>
      <c r="F83" s="39" t="str">
        <f>IF('Quote Items'!A72="","",'Quote Items'!H72)</f>
        <v/>
      </c>
      <c r="G83" s="39" t="str">
        <f>IF('Quote Items'!A72="","",'Quote Items'!AJ72)</f>
        <v/>
      </c>
      <c r="H83" s="44" t="str">
        <f>IF('Quote Items'!A72="","",'Quote Items'!AQ72)</f>
        <v/>
      </c>
      <c r="I83" s="44" t="str">
        <f>IF('Quote Items'!A72="","",'Quote Items'!AT72)</f>
        <v/>
      </c>
    </row>
    <row r="84" ht="15.75" customHeight="1">
      <c r="A84" s="38" t="str">
        <f>IF('Quote Items'!A73="","",'Quote Items'!A73)</f>
        <v/>
      </c>
      <c r="B84" s="39" t="str">
        <f>IF('Quote Items'!A73="","",'Quote Items'!E73)</f>
        <v/>
      </c>
      <c r="C84" s="39" t="str">
        <f>IF('Quote Items'!A73="","",'Quote Items'!O73)</f>
        <v/>
      </c>
      <c r="D84" s="39" t="str">
        <f>IF('Quote Items'!A73="","",'Quote Items'!S73)</f>
        <v/>
      </c>
      <c r="E84" s="38" t="str">
        <f>IF('Quote Items'!A73="","",'Quote Items'!F73)</f>
        <v/>
      </c>
      <c r="F84" s="39" t="str">
        <f>IF('Quote Items'!A73="","",'Quote Items'!H73)</f>
        <v/>
      </c>
      <c r="G84" s="39" t="str">
        <f>IF('Quote Items'!A73="","",'Quote Items'!AJ73)</f>
        <v/>
      </c>
      <c r="H84" s="44" t="str">
        <f>IF('Quote Items'!A73="","",'Quote Items'!AQ73)</f>
        <v/>
      </c>
      <c r="I84" s="44" t="str">
        <f>IF('Quote Items'!A73="","",'Quote Items'!AT73)</f>
        <v/>
      </c>
    </row>
    <row r="85" ht="15.75" customHeight="1">
      <c r="A85" s="38" t="str">
        <f>IF('Quote Items'!A74="","",'Quote Items'!A74)</f>
        <v/>
      </c>
      <c r="B85" s="39" t="str">
        <f>IF('Quote Items'!A74="","",'Quote Items'!E74)</f>
        <v/>
      </c>
      <c r="C85" s="39" t="str">
        <f>IF('Quote Items'!A74="","",'Quote Items'!O74)</f>
        <v/>
      </c>
      <c r="D85" s="39" t="str">
        <f>IF('Quote Items'!A74="","",'Quote Items'!S74)</f>
        <v/>
      </c>
      <c r="E85" s="38" t="str">
        <f>IF('Quote Items'!A74="","",'Quote Items'!F74)</f>
        <v/>
      </c>
      <c r="F85" s="39" t="str">
        <f>IF('Quote Items'!A74="","",'Quote Items'!H74)</f>
        <v/>
      </c>
      <c r="G85" s="39" t="str">
        <f>IF('Quote Items'!A74="","",'Quote Items'!AJ74)</f>
        <v/>
      </c>
      <c r="H85" s="44" t="str">
        <f>IF('Quote Items'!A74="","",'Quote Items'!AQ74)</f>
        <v/>
      </c>
      <c r="I85" s="44" t="str">
        <f>IF('Quote Items'!A74="","",'Quote Items'!AT74)</f>
        <v/>
      </c>
    </row>
    <row r="86" ht="15.75" customHeight="1">
      <c r="A86" s="38" t="str">
        <f>IF('Quote Items'!A75="","",'Quote Items'!A75)</f>
        <v/>
      </c>
      <c r="B86" s="39" t="str">
        <f>IF('Quote Items'!A75="","",'Quote Items'!E75)</f>
        <v/>
      </c>
      <c r="C86" s="39" t="str">
        <f>IF('Quote Items'!A75="","",'Quote Items'!O75)</f>
        <v/>
      </c>
      <c r="D86" s="39" t="str">
        <f>IF('Quote Items'!A75="","",'Quote Items'!S75)</f>
        <v/>
      </c>
      <c r="E86" s="38" t="str">
        <f>IF('Quote Items'!A75="","",'Quote Items'!F75)</f>
        <v/>
      </c>
      <c r="F86" s="39" t="str">
        <f>IF('Quote Items'!A75="","",'Quote Items'!H75)</f>
        <v/>
      </c>
      <c r="G86" s="39" t="str">
        <f>IF('Quote Items'!A75="","",'Quote Items'!AJ75)</f>
        <v/>
      </c>
      <c r="H86" s="44" t="str">
        <f>IF('Quote Items'!A75="","",'Quote Items'!AQ75)</f>
        <v/>
      </c>
      <c r="I86" s="44" t="str">
        <f>IF('Quote Items'!A75="","",'Quote Items'!AT75)</f>
        <v/>
      </c>
    </row>
    <row r="87" ht="15.75" customHeight="1">
      <c r="A87" s="38" t="str">
        <f>IF('Quote Items'!A76="","",'Quote Items'!A76)</f>
        <v/>
      </c>
      <c r="B87" s="39" t="str">
        <f>IF('Quote Items'!A76="","",'Quote Items'!E76)</f>
        <v/>
      </c>
      <c r="C87" s="39" t="str">
        <f>IF('Quote Items'!A76="","",'Quote Items'!O76)</f>
        <v/>
      </c>
      <c r="D87" s="39" t="str">
        <f>IF('Quote Items'!A76="","",'Quote Items'!S76)</f>
        <v/>
      </c>
      <c r="E87" s="38" t="str">
        <f>IF('Quote Items'!A76="","",'Quote Items'!F76)</f>
        <v/>
      </c>
      <c r="F87" s="39" t="str">
        <f>IF('Quote Items'!A76="","",'Quote Items'!H76)</f>
        <v/>
      </c>
      <c r="G87" s="39" t="str">
        <f>IF('Quote Items'!A76="","",'Quote Items'!AJ76)</f>
        <v/>
      </c>
      <c r="H87" s="44" t="str">
        <f>IF('Quote Items'!A76="","",'Quote Items'!AQ76)</f>
        <v/>
      </c>
      <c r="I87" s="44" t="str">
        <f>IF('Quote Items'!A76="","",'Quote Items'!AT76)</f>
        <v/>
      </c>
    </row>
    <row r="88" ht="15.75" customHeight="1">
      <c r="A88" s="38" t="str">
        <f>IF('Quote Items'!A77="","",'Quote Items'!A77)</f>
        <v/>
      </c>
      <c r="B88" s="39" t="str">
        <f>IF('Quote Items'!A77="","",'Quote Items'!E77)</f>
        <v/>
      </c>
      <c r="C88" s="39" t="str">
        <f>IF('Quote Items'!A77="","",'Quote Items'!O77)</f>
        <v/>
      </c>
      <c r="D88" s="39" t="str">
        <f>IF('Quote Items'!A77="","",'Quote Items'!S77)</f>
        <v/>
      </c>
      <c r="E88" s="38" t="str">
        <f>IF('Quote Items'!A77="","",'Quote Items'!F77)</f>
        <v/>
      </c>
      <c r="F88" s="39" t="str">
        <f>IF('Quote Items'!A77="","",'Quote Items'!H77)</f>
        <v/>
      </c>
      <c r="G88" s="39" t="str">
        <f>IF('Quote Items'!A77="","",'Quote Items'!AJ77)</f>
        <v/>
      </c>
      <c r="H88" s="44" t="str">
        <f>IF('Quote Items'!A77="","",'Quote Items'!AQ77)</f>
        <v/>
      </c>
      <c r="I88" s="44" t="str">
        <f>IF('Quote Items'!A77="","",'Quote Items'!AT77)</f>
        <v/>
      </c>
    </row>
    <row r="89" ht="15.75" customHeight="1">
      <c r="A89" s="38" t="str">
        <f>IF('Quote Items'!A78="","",'Quote Items'!A78)</f>
        <v/>
      </c>
      <c r="B89" s="39" t="str">
        <f>IF('Quote Items'!A78="","",'Quote Items'!E78)</f>
        <v/>
      </c>
      <c r="C89" s="39" t="str">
        <f>IF('Quote Items'!A78="","",'Quote Items'!O78)</f>
        <v/>
      </c>
      <c r="D89" s="39" t="str">
        <f>IF('Quote Items'!A78="","",'Quote Items'!S78)</f>
        <v/>
      </c>
      <c r="E89" s="38" t="str">
        <f>IF('Quote Items'!A78="","",'Quote Items'!F78)</f>
        <v/>
      </c>
      <c r="F89" s="39" t="str">
        <f>IF('Quote Items'!A78="","",'Quote Items'!H78)</f>
        <v/>
      </c>
      <c r="G89" s="39" t="str">
        <f>IF('Quote Items'!A78="","",'Quote Items'!AJ78)</f>
        <v/>
      </c>
      <c r="H89" s="44" t="str">
        <f>IF('Quote Items'!A78="","",'Quote Items'!AQ78)</f>
        <v/>
      </c>
      <c r="I89" s="44" t="str">
        <f>IF('Quote Items'!A78="","",'Quote Items'!AT78)</f>
        <v/>
      </c>
    </row>
    <row r="90" ht="15.75" customHeight="1">
      <c r="A90" s="38" t="str">
        <f>IF('Quote Items'!A79="","",'Quote Items'!A79)</f>
        <v/>
      </c>
      <c r="B90" s="39" t="str">
        <f>IF('Quote Items'!A79="","",'Quote Items'!E79)</f>
        <v/>
      </c>
      <c r="C90" s="39" t="str">
        <f>IF('Quote Items'!A79="","",'Quote Items'!O79)</f>
        <v/>
      </c>
      <c r="D90" s="39" t="str">
        <f>IF('Quote Items'!A79="","",'Quote Items'!S79)</f>
        <v/>
      </c>
      <c r="E90" s="38" t="str">
        <f>IF('Quote Items'!A79="","",'Quote Items'!F79)</f>
        <v/>
      </c>
      <c r="F90" s="39" t="str">
        <f>IF('Quote Items'!A79="","",'Quote Items'!H79)</f>
        <v/>
      </c>
      <c r="G90" s="39" t="str">
        <f>IF('Quote Items'!A79="","",'Quote Items'!AJ79)</f>
        <v/>
      </c>
      <c r="H90" s="44" t="str">
        <f>IF('Quote Items'!A79="","",'Quote Items'!AQ79)</f>
        <v/>
      </c>
      <c r="I90" s="44" t="str">
        <f>IF('Quote Items'!A79="","",'Quote Items'!AT79)</f>
        <v/>
      </c>
    </row>
    <row r="91" ht="15.75" customHeight="1">
      <c r="A91" s="38" t="str">
        <f>IF('Quote Items'!A80="","",'Quote Items'!A80)</f>
        <v/>
      </c>
      <c r="B91" s="39" t="str">
        <f>IF('Quote Items'!A80="","",'Quote Items'!E80)</f>
        <v/>
      </c>
      <c r="C91" s="39" t="str">
        <f>IF('Quote Items'!A80="","",'Quote Items'!O80)</f>
        <v/>
      </c>
      <c r="D91" s="39" t="str">
        <f>IF('Quote Items'!A80="","",'Quote Items'!S80)</f>
        <v/>
      </c>
      <c r="E91" s="38" t="str">
        <f>IF('Quote Items'!A80="","",'Quote Items'!F80)</f>
        <v/>
      </c>
      <c r="F91" s="39" t="str">
        <f>IF('Quote Items'!A80="","",'Quote Items'!H80)</f>
        <v/>
      </c>
      <c r="G91" s="39" t="str">
        <f>IF('Quote Items'!A80="","",'Quote Items'!AJ80)</f>
        <v/>
      </c>
      <c r="H91" s="44" t="str">
        <f>IF('Quote Items'!A80="","",'Quote Items'!AQ80)</f>
        <v/>
      </c>
      <c r="I91" s="44" t="str">
        <f>IF('Quote Items'!A80="","",'Quote Items'!AT80)</f>
        <v/>
      </c>
    </row>
    <row r="92" ht="15.75" customHeight="1">
      <c r="A92" s="38" t="str">
        <f>IF('Quote Items'!A81="","",'Quote Items'!A81)</f>
        <v/>
      </c>
      <c r="B92" s="39" t="str">
        <f>IF('Quote Items'!A81="","",'Quote Items'!E81)</f>
        <v/>
      </c>
      <c r="C92" s="39" t="str">
        <f>IF('Quote Items'!A81="","",'Quote Items'!O81)</f>
        <v/>
      </c>
      <c r="D92" s="39" t="str">
        <f>IF('Quote Items'!A81="","",'Quote Items'!S81)</f>
        <v/>
      </c>
      <c r="E92" s="38" t="str">
        <f>IF('Quote Items'!A81="","",'Quote Items'!F81)</f>
        <v/>
      </c>
      <c r="F92" s="39" t="str">
        <f>IF('Quote Items'!A81="","",'Quote Items'!H81)</f>
        <v/>
      </c>
      <c r="G92" s="39" t="str">
        <f>IF('Quote Items'!A81="","",'Quote Items'!AJ81)</f>
        <v/>
      </c>
      <c r="H92" s="44" t="str">
        <f>IF('Quote Items'!A81="","",'Quote Items'!AQ81)</f>
        <v/>
      </c>
      <c r="I92" s="44" t="str">
        <f>IF('Quote Items'!A81="","",'Quote Items'!AT81)</f>
        <v/>
      </c>
    </row>
    <row r="93" ht="15.75" customHeight="1">
      <c r="A93" s="38" t="str">
        <f>IF('Quote Items'!A82="","",'Quote Items'!A82)</f>
        <v/>
      </c>
      <c r="B93" s="39" t="str">
        <f>IF('Quote Items'!A82="","",'Quote Items'!E82)</f>
        <v/>
      </c>
      <c r="C93" s="39" t="str">
        <f>IF('Quote Items'!A82="","",'Quote Items'!O82)</f>
        <v/>
      </c>
      <c r="D93" s="39" t="str">
        <f>IF('Quote Items'!A82="","",'Quote Items'!S82)</f>
        <v/>
      </c>
      <c r="E93" s="38" t="str">
        <f>IF('Quote Items'!A82="","",'Quote Items'!F82)</f>
        <v/>
      </c>
      <c r="F93" s="39" t="str">
        <f>IF('Quote Items'!A82="","",'Quote Items'!H82)</f>
        <v/>
      </c>
      <c r="G93" s="39" t="str">
        <f>IF('Quote Items'!A82="","",'Quote Items'!AJ82)</f>
        <v/>
      </c>
      <c r="H93" s="44" t="str">
        <f>IF('Quote Items'!A82="","",'Quote Items'!AQ82)</f>
        <v/>
      </c>
      <c r="I93" s="44" t="str">
        <f>IF('Quote Items'!A82="","",'Quote Items'!AT82)</f>
        <v/>
      </c>
    </row>
    <row r="94" ht="15.75" customHeight="1">
      <c r="A94" s="38" t="str">
        <f>IF('Quote Items'!A83="","",'Quote Items'!A83)</f>
        <v/>
      </c>
      <c r="B94" s="39" t="str">
        <f>IF('Quote Items'!A83="","",'Quote Items'!E83)</f>
        <v/>
      </c>
      <c r="C94" s="39" t="str">
        <f>IF('Quote Items'!A83="","",'Quote Items'!O83)</f>
        <v/>
      </c>
      <c r="D94" s="39" t="str">
        <f>IF('Quote Items'!A83="","",'Quote Items'!S83)</f>
        <v/>
      </c>
      <c r="E94" s="38" t="str">
        <f>IF('Quote Items'!A83="","",'Quote Items'!F83)</f>
        <v/>
      </c>
      <c r="F94" s="39" t="str">
        <f>IF('Quote Items'!A83="","",'Quote Items'!H83)</f>
        <v/>
      </c>
      <c r="G94" s="39" t="str">
        <f>IF('Quote Items'!A83="","",'Quote Items'!AJ83)</f>
        <v/>
      </c>
      <c r="H94" s="44" t="str">
        <f>IF('Quote Items'!A83="","",'Quote Items'!AQ83)</f>
        <v/>
      </c>
      <c r="I94" s="44" t="str">
        <f>IF('Quote Items'!A83="","",'Quote Items'!AT83)</f>
        <v/>
      </c>
    </row>
    <row r="95" ht="15.75" customHeight="1">
      <c r="A95" s="38" t="str">
        <f>IF('Quote Items'!A84="","",'Quote Items'!A84)</f>
        <v/>
      </c>
      <c r="B95" s="39" t="str">
        <f>IF('Quote Items'!A84="","",'Quote Items'!E84)</f>
        <v/>
      </c>
      <c r="C95" s="39" t="str">
        <f>IF('Quote Items'!A84="","",'Quote Items'!O84)</f>
        <v/>
      </c>
      <c r="D95" s="39" t="str">
        <f>IF('Quote Items'!A84="","",'Quote Items'!S84)</f>
        <v/>
      </c>
      <c r="E95" s="38" t="str">
        <f>IF('Quote Items'!A84="","",'Quote Items'!F84)</f>
        <v/>
      </c>
      <c r="F95" s="39" t="str">
        <f>IF('Quote Items'!A84="","",'Quote Items'!H84)</f>
        <v/>
      </c>
      <c r="G95" s="39" t="str">
        <f>IF('Quote Items'!A84="","",'Quote Items'!AJ84)</f>
        <v/>
      </c>
      <c r="H95" s="44" t="str">
        <f>IF('Quote Items'!A84="","",'Quote Items'!AQ84)</f>
        <v/>
      </c>
      <c r="I95" s="44" t="str">
        <f>IF('Quote Items'!A84="","",'Quote Items'!AT84)</f>
        <v/>
      </c>
    </row>
    <row r="96" ht="15.75" customHeight="1">
      <c r="A96" s="38" t="str">
        <f>IF('Quote Items'!A85="","",'Quote Items'!A85)</f>
        <v/>
      </c>
      <c r="B96" s="39" t="str">
        <f>IF('Quote Items'!A85="","",'Quote Items'!E85)</f>
        <v/>
      </c>
      <c r="C96" s="39" t="str">
        <f>IF('Quote Items'!A85="","",'Quote Items'!O85)</f>
        <v/>
      </c>
      <c r="D96" s="39" t="str">
        <f>IF('Quote Items'!A85="","",'Quote Items'!S85)</f>
        <v/>
      </c>
      <c r="E96" s="38" t="str">
        <f>IF('Quote Items'!A85="","",'Quote Items'!F85)</f>
        <v/>
      </c>
      <c r="F96" s="39" t="str">
        <f>IF('Quote Items'!A85="","",'Quote Items'!H85)</f>
        <v/>
      </c>
      <c r="G96" s="39" t="str">
        <f>IF('Quote Items'!A85="","",'Quote Items'!AJ85)</f>
        <v/>
      </c>
      <c r="H96" s="44" t="str">
        <f>IF('Quote Items'!A85="","",'Quote Items'!AQ85)</f>
        <v/>
      </c>
      <c r="I96" s="44" t="str">
        <f>IF('Quote Items'!A85="","",'Quote Items'!AT85)</f>
        <v/>
      </c>
    </row>
    <row r="97" ht="15.75" customHeight="1">
      <c r="A97" s="38" t="str">
        <f>IF('Quote Items'!A86="","",'Quote Items'!A86)</f>
        <v/>
      </c>
      <c r="B97" s="39" t="str">
        <f>IF('Quote Items'!A86="","",'Quote Items'!E86)</f>
        <v/>
      </c>
      <c r="C97" s="39" t="str">
        <f>IF('Quote Items'!A86="","",'Quote Items'!O86)</f>
        <v/>
      </c>
      <c r="D97" s="39" t="str">
        <f>IF('Quote Items'!A86="","",'Quote Items'!S86)</f>
        <v/>
      </c>
      <c r="E97" s="38" t="str">
        <f>IF('Quote Items'!A86="","",'Quote Items'!F86)</f>
        <v/>
      </c>
      <c r="F97" s="39" t="str">
        <f>IF('Quote Items'!A86="","",'Quote Items'!H86)</f>
        <v/>
      </c>
      <c r="G97" s="39" t="str">
        <f>IF('Quote Items'!A86="","",'Quote Items'!AJ86)</f>
        <v/>
      </c>
      <c r="H97" s="44" t="str">
        <f>IF('Quote Items'!A86="","",'Quote Items'!AQ86)</f>
        <v/>
      </c>
      <c r="I97" s="44" t="str">
        <f>IF('Quote Items'!A86="","",'Quote Items'!AT86)</f>
        <v/>
      </c>
    </row>
    <row r="98" ht="15.75" customHeight="1">
      <c r="A98" s="38" t="str">
        <f>IF('Quote Items'!A87="","",'Quote Items'!A87)</f>
        <v/>
      </c>
      <c r="B98" s="39" t="str">
        <f>IF('Quote Items'!A87="","",'Quote Items'!E87)</f>
        <v/>
      </c>
      <c r="C98" s="39" t="str">
        <f>IF('Quote Items'!A87="","",'Quote Items'!O87)</f>
        <v/>
      </c>
      <c r="D98" s="39" t="str">
        <f>IF('Quote Items'!A87="","",'Quote Items'!S87)</f>
        <v/>
      </c>
      <c r="E98" s="38" t="str">
        <f>IF('Quote Items'!A87="","",'Quote Items'!F87)</f>
        <v/>
      </c>
      <c r="F98" s="39" t="str">
        <f>IF('Quote Items'!A87="","",'Quote Items'!H87)</f>
        <v/>
      </c>
      <c r="G98" s="39" t="str">
        <f>IF('Quote Items'!A87="","",'Quote Items'!AJ87)</f>
        <v/>
      </c>
      <c r="H98" s="44" t="str">
        <f>IF('Quote Items'!A87="","",'Quote Items'!AQ87)</f>
        <v/>
      </c>
      <c r="I98" s="44" t="str">
        <f>IF('Quote Items'!A87="","",'Quote Items'!AT87)</f>
        <v/>
      </c>
    </row>
    <row r="99" ht="15.75" customHeight="1">
      <c r="A99" s="38" t="str">
        <f>IF('Quote Items'!A88="","",'Quote Items'!A88)</f>
        <v/>
      </c>
      <c r="B99" s="39" t="str">
        <f>IF('Quote Items'!A88="","",'Quote Items'!E88)</f>
        <v/>
      </c>
      <c r="C99" s="39" t="str">
        <f>IF('Quote Items'!A88="","",'Quote Items'!O88)</f>
        <v/>
      </c>
      <c r="D99" s="39" t="str">
        <f>IF('Quote Items'!A88="","",'Quote Items'!S88)</f>
        <v/>
      </c>
      <c r="E99" s="38" t="str">
        <f>IF('Quote Items'!A88="","",'Quote Items'!F88)</f>
        <v/>
      </c>
      <c r="F99" s="39" t="str">
        <f>IF('Quote Items'!A88="","",'Quote Items'!H88)</f>
        <v/>
      </c>
      <c r="G99" s="39" t="str">
        <f>IF('Quote Items'!A88="","",'Quote Items'!AJ88)</f>
        <v/>
      </c>
      <c r="H99" s="44" t="str">
        <f>IF('Quote Items'!A88="","",'Quote Items'!AQ88)</f>
        <v/>
      </c>
      <c r="I99" s="44" t="str">
        <f>IF('Quote Items'!A88="","",'Quote Items'!AT88)</f>
        <v/>
      </c>
    </row>
    <row r="100" ht="15.75" customHeight="1">
      <c r="A100" s="38" t="str">
        <f>IF('Quote Items'!A89="","",'Quote Items'!A89)</f>
        <v/>
      </c>
      <c r="B100" s="39" t="str">
        <f>IF('Quote Items'!A89="","",'Quote Items'!E89)</f>
        <v/>
      </c>
      <c r="C100" s="39" t="str">
        <f>IF('Quote Items'!A89="","",'Quote Items'!O89)</f>
        <v/>
      </c>
      <c r="D100" s="39" t="str">
        <f>IF('Quote Items'!A89="","",'Quote Items'!S89)</f>
        <v/>
      </c>
      <c r="E100" s="38" t="str">
        <f>IF('Quote Items'!A89="","",'Quote Items'!F89)</f>
        <v/>
      </c>
      <c r="F100" s="39" t="str">
        <f>IF('Quote Items'!A89="","",'Quote Items'!H89)</f>
        <v/>
      </c>
      <c r="G100" s="39" t="str">
        <f>IF('Quote Items'!A89="","",'Quote Items'!AJ89)</f>
        <v/>
      </c>
      <c r="H100" s="44" t="str">
        <f>IF('Quote Items'!A89="","",'Quote Items'!AQ89)</f>
        <v/>
      </c>
      <c r="I100" s="44" t="str">
        <f>IF('Quote Items'!A89="","",'Quote Items'!AT89)</f>
        <v/>
      </c>
    </row>
    <row r="101" ht="15.75" customHeight="1">
      <c r="A101" s="38" t="str">
        <f>IF('Quote Items'!A90="","",'Quote Items'!A90)</f>
        <v/>
      </c>
      <c r="B101" s="39" t="str">
        <f>IF('Quote Items'!A90="","",'Quote Items'!E90)</f>
        <v/>
      </c>
      <c r="C101" s="39" t="str">
        <f>IF('Quote Items'!A90="","",'Quote Items'!O90)</f>
        <v/>
      </c>
      <c r="D101" s="39" t="str">
        <f>IF('Quote Items'!A90="","",'Quote Items'!S90)</f>
        <v/>
      </c>
      <c r="E101" s="38" t="str">
        <f>IF('Quote Items'!A90="","",'Quote Items'!F90)</f>
        <v/>
      </c>
      <c r="F101" s="39" t="str">
        <f>IF('Quote Items'!A90="","",'Quote Items'!H90)</f>
        <v/>
      </c>
      <c r="G101" s="39" t="str">
        <f>IF('Quote Items'!A90="","",'Quote Items'!AJ90)</f>
        <v/>
      </c>
      <c r="H101" s="44" t="str">
        <f>IF('Quote Items'!A90="","",'Quote Items'!AQ90)</f>
        <v/>
      </c>
      <c r="I101" s="44" t="str">
        <f>IF('Quote Items'!A90="","",'Quote Items'!AT90)</f>
        <v/>
      </c>
    </row>
    <row r="102" ht="15.75" customHeight="1">
      <c r="A102" s="38" t="str">
        <f>IF('Quote Items'!A91="","",'Quote Items'!A91)</f>
        <v/>
      </c>
      <c r="B102" s="39" t="str">
        <f>IF('Quote Items'!A91="","",'Quote Items'!E91)</f>
        <v/>
      </c>
      <c r="C102" s="39" t="str">
        <f>IF('Quote Items'!A91="","",'Quote Items'!O91)</f>
        <v/>
      </c>
      <c r="D102" s="39" t="str">
        <f>IF('Quote Items'!A91="","",'Quote Items'!S91)</f>
        <v/>
      </c>
      <c r="E102" s="38" t="str">
        <f>IF('Quote Items'!A91="","",'Quote Items'!F91)</f>
        <v/>
      </c>
      <c r="F102" s="39" t="str">
        <f>IF('Quote Items'!A91="","",'Quote Items'!H91)</f>
        <v/>
      </c>
      <c r="G102" s="39" t="str">
        <f>IF('Quote Items'!A91="","",'Quote Items'!AJ91)</f>
        <v/>
      </c>
      <c r="H102" s="44" t="str">
        <f>IF('Quote Items'!A91="","",'Quote Items'!AQ91)</f>
        <v/>
      </c>
      <c r="I102" s="44" t="str">
        <f>IF('Quote Items'!A91="","",'Quote Items'!AT91)</f>
        <v/>
      </c>
    </row>
    <row r="103" ht="15.75" customHeight="1">
      <c r="A103" s="38" t="str">
        <f>IF('Quote Items'!A92="","",'Quote Items'!A92)</f>
        <v/>
      </c>
      <c r="B103" s="39" t="str">
        <f>IF('Quote Items'!A92="","",'Quote Items'!E92)</f>
        <v/>
      </c>
      <c r="C103" s="39" t="str">
        <f>IF('Quote Items'!A92="","",'Quote Items'!O92)</f>
        <v/>
      </c>
      <c r="D103" s="39" t="str">
        <f>IF('Quote Items'!A92="","",'Quote Items'!S92)</f>
        <v/>
      </c>
      <c r="E103" s="38" t="str">
        <f>IF('Quote Items'!A92="","",'Quote Items'!F92)</f>
        <v/>
      </c>
      <c r="F103" s="39" t="str">
        <f>IF('Quote Items'!A92="","",'Quote Items'!H92)</f>
        <v/>
      </c>
      <c r="G103" s="39" t="str">
        <f>IF('Quote Items'!A92="","",'Quote Items'!AJ92)</f>
        <v/>
      </c>
      <c r="H103" s="44" t="str">
        <f>IF('Quote Items'!A92="","",'Quote Items'!AQ92)</f>
        <v/>
      </c>
      <c r="I103" s="44" t="str">
        <f>IF('Quote Items'!A92="","",'Quote Items'!AT92)</f>
        <v/>
      </c>
    </row>
    <row r="104" ht="15.75" customHeight="1">
      <c r="A104" s="38" t="str">
        <f>IF('Quote Items'!A93="","",'Quote Items'!A93)</f>
        <v/>
      </c>
      <c r="B104" s="39" t="str">
        <f>IF('Quote Items'!A93="","",'Quote Items'!E93)</f>
        <v/>
      </c>
      <c r="C104" s="39" t="str">
        <f>IF('Quote Items'!A93="","",'Quote Items'!O93)</f>
        <v/>
      </c>
      <c r="D104" s="39" t="str">
        <f>IF('Quote Items'!A93="","",'Quote Items'!S93)</f>
        <v/>
      </c>
      <c r="E104" s="38" t="str">
        <f>IF('Quote Items'!A93="","",'Quote Items'!F93)</f>
        <v/>
      </c>
      <c r="F104" s="39" t="str">
        <f>IF('Quote Items'!A93="","",'Quote Items'!H93)</f>
        <v/>
      </c>
      <c r="G104" s="39" t="str">
        <f>IF('Quote Items'!A93="","",'Quote Items'!AJ93)</f>
        <v/>
      </c>
      <c r="H104" s="44" t="str">
        <f>IF('Quote Items'!A93="","",'Quote Items'!AQ93)</f>
        <v/>
      </c>
      <c r="I104" s="44" t="str">
        <f>IF('Quote Items'!A93="","",'Quote Items'!AT93)</f>
        <v/>
      </c>
    </row>
    <row r="105" ht="15.75" customHeight="1">
      <c r="A105" s="38" t="str">
        <f>IF('Quote Items'!A94="","",'Quote Items'!A94)</f>
        <v/>
      </c>
      <c r="B105" s="39" t="str">
        <f>IF('Quote Items'!A94="","",'Quote Items'!E94)</f>
        <v/>
      </c>
      <c r="C105" s="39" t="str">
        <f>IF('Quote Items'!A94="","",'Quote Items'!O94)</f>
        <v/>
      </c>
      <c r="D105" s="39" t="str">
        <f>IF('Quote Items'!A94="","",'Quote Items'!S94)</f>
        <v/>
      </c>
      <c r="E105" s="38" t="str">
        <f>IF('Quote Items'!A94="","",'Quote Items'!F94)</f>
        <v/>
      </c>
      <c r="F105" s="39" t="str">
        <f>IF('Quote Items'!A94="","",'Quote Items'!H94)</f>
        <v/>
      </c>
      <c r="G105" s="39" t="str">
        <f>IF('Quote Items'!A94="","",'Quote Items'!AJ94)</f>
        <v/>
      </c>
      <c r="H105" s="44" t="str">
        <f>IF('Quote Items'!A94="","",'Quote Items'!AQ94)</f>
        <v/>
      </c>
      <c r="I105" s="44" t="str">
        <f>IF('Quote Items'!A94="","",'Quote Items'!AT94)</f>
        <v/>
      </c>
    </row>
    <row r="106" ht="15.75" customHeight="1">
      <c r="A106" s="38" t="str">
        <f>IF('Quote Items'!A95="","",'Quote Items'!A95)</f>
        <v/>
      </c>
      <c r="B106" s="39" t="str">
        <f>IF('Quote Items'!A95="","",'Quote Items'!E95)</f>
        <v/>
      </c>
      <c r="C106" s="39" t="str">
        <f>IF('Quote Items'!A95="","",'Quote Items'!O95)</f>
        <v/>
      </c>
      <c r="D106" s="39" t="str">
        <f>IF('Quote Items'!A95="","",'Quote Items'!S95)</f>
        <v/>
      </c>
      <c r="E106" s="38" t="str">
        <f>IF('Quote Items'!A95="","",'Quote Items'!F95)</f>
        <v/>
      </c>
      <c r="F106" s="39" t="str">
        <f>IF('Quote Items'!A95="","",'Quote Items'!H95)</f>
        <v/>
      </c>
      <c r="G106" s="39" t="str">
        <f>IF('Quote Items'!A95="","",'Quote Items'!AJ95)</f>
        <v/>
      </c>
      <c r="H106" s="44" t="str">
        <f>IF('Quote Items'!A95="","",'Quote Items'!AQ95)</f>
        <v/>
      </c>
      <c r="I106" s="44" t="str">
        <f>IF('Quote Items'!A95="","",'Quote Items'!AT95)</f>
        <v/>
      </c>
    </row>
    <row r="107" ht="15.75" customHeight="1">
      <c r="A107" s="38" t="str">
        <f>IF('Quote Items'!A96="","",'Quote Items'!A96)</f>
        <v/>
      </c>
      <c r="B107" s="39" t="str">
        <f>IF('Quote Items'!A96="","",'Quote Items'!E96)</f>
        <v/>
      </c>
      <c r="C107" s="39" t="str">
        <f>IF('Quote Items'!A96="","",'Quote Items'!O96)</f>
        <v/>
      </c>
      <c r="D107" s="39" t="str">
        <f>IF('Quote Items'!A96="","",'Quote Items'!S96)</f>
        <v/>
      </c>
      <c r="E107" s="38" t="str">
        <f>IF('Quote Items'!A96="","",'Quote Items'!F96)</f>
        <v/>
      </c>
      <c r="F107" s="39" t="str">
        <f>IF('Quote Items'!A96="","",'Quote Items'!H96)</f>
        <v/>
      </c>
      <c r="G107" s="39" t="str">
        <f>IF('Quote Items'!A96="","",'Quote Items'!AJ96)</f>
        <v/>
      </c>
      <c r="H107" s="44" t="str">
        <f>IF('Quote Items'!A96="","",'Quote Items'!AQ96)</f>
        <v/>
      </c>
      <c r="I107" s="44" t="str">
        <f>IF('Quote Items'!A96="","",'Quote Items'!AT96)</f>
        <v/>
      </c>
    </row>
    <row r="108" ht="15.75" customHeight="1">
      <c r="A108" s="38" t="str">
        <f>IF('Quote Items'!A97="","",'Quote Items'!A97)</f>
        <v/>
      </c>
      <c r="B108" s="39" t="str">
        <f>IF('Quote Items'!A97="","",'Quote Items'!E97)</f>
        <v/>
      </c>
      <c r="C108" s="39" t="str">
        <f>IF('Quote Items'!A97="","",'Quote Items'!O97)</f>
        <v/>
      </c>
      <c r="D108" s="39" t="str">
        <f>IF('Quote Items'!A97="","",'Quote Items'!S97)</f>
        <v/>
      </c>
      <c r="E108" s="38" t="str">
        <f>IF('Quote Items'!A97="","",'Quote Items'!F97)</f>
        <v/>
      </c>
      <c r="F108" s="39" t="str">
        <f>IF('Quote Items'!A97="","",'Quote Items'!H97)</f>
        <v/>
      </c>
      <c r="G108" s="39" t="str">
        <f>IF('Quote Items'!A97="","",'Quote Items'!AJ97)</f>
        <v/>
      </c>
      <c r="H108" s="44" t="str">
        <f>IF('Quote Items'!A97="","",'Quote Items'!AQ97)</f>
        <v/>
      </c>
      <c r="I108" s="44" t="str">
        <f>IF('Quote Items'!A97="","",'Quote Items'!AT97)</f>
        <v/>
      </c>
    </row>
    <row r="109" ht="15.75" customHeight="1">
      <c r="A109" s="38" t="str">
        <f>IF('Quote Items'!A98="","",'Quote Items'!A98)</f>
        <v/>
      </c>
      <c r="B109" s="39" t="str">
        <f>IF('Quote Items'!A98="","",'Quote Items'!E98)</f>
        <v/>
      </c>
      <c r="C109" s="39" t="str">
        <f>IF('Quote Items'!A98="","",'Quote Items'!O98)</f>
        <v/>
      </c>
      <c r="D109" s="39" t="str">
        <f>IF('Quote Items'!A98="","",'Quote Items'!S98)</f>
        <v/>
      </c>
      <c r="E109" s="38" t="str">
        <f>IF('Quote Items'!A98="","",'Quote Items'!F98)</f>
        <v/>
      </c>
      <c r="F109" s="39" t="str">
        <f>IF('Quote Items'!A98="","",'Quote Items'!H98)</f>
        <v/>
      </c>
      <c r="G109" s="39" t="str">
        <f>IF('Quote Items'!A98="","",'Quote Items'!AJ98)</f>
        <v/>
      </c>
      <c r="H109" s="44" t="str">
        <f>IF('Quote Items'!A98="","",'Quote Items'!AQ98)</f>
        <v/>
      </c>
      <c r="I109" s="44" t="str">
        <f>IF('Quote Items'!A98="","",'Quote Items'!AT98)</f>
        <v/>
      </c>
    </row>
    <row r="110" ht="15.75" customHeight="1">
      <c r="A110" s="38" t="str">
        <f>IF('Quote Items'!A99="","",'Quote Items'!A99)</f>
        <v/>
      </c>
      <c r="B110" s="39" t="str">
        <f>IF('Quote Items'!A99="","",'Quote Items'!E99)</f>
        <v/>
      </c>
      <c r="C110" s="39" t="str">
        <f>IF('Quote Items'!A99="","",'Quote Items'!O99)</f>
        <v/>
      </c>
      <c r="D110" s="39" t="str">
        <f>IF('Quote Items'!A99="","",'Quote Items'!S99)</f>
        <v/>
      </c>
      <c r="E110" s="38" t="str">
        <f>IF('Quote Items'!A99="","",'Quote Items'!F99)</f>
        <v/>
      </c>
      <c r="F110" s="39" t="str">
        <f>IF('Quote Items'!A99="","",'Quote Items'!H99)</f>
        <v/>
      </c>
      <c r="G110" s="39" t="str">
        <f>IF('Quote Items'!A99="","",'Quote Items'!AJ99)</f>
        <v/>
      </c>
      <c r="H110" s="44" t="str">
        <f>IF('Quote Items'!A99="","",'Quote Items'!AQ99)</f>
        <v/>
      </c>
      <c r="I110" s="44" t="str">
        <f>IF('Quote Items'!A99="","",'Quote Items'!AT99)</f>
        <v/>
      </c>
    </row>
    <row r="111" ht="15.75" customHeight="1">
      <c r="A111" s="38" t="str">
        <f>IF('Quote Items'!A100="","",'Quote Items'!A100)</f>
        <v/>
      </c>
      <c r="B111" s="39" t="str">
        <f>IF('Quote Items'!A100="","",'Quote Items'!E100)</f>
        <v/>
      </c>
      <c r="C111" s="39" t="str">
        <f>IF('Quote Items'!A100="","",'Quote Items'!O100)</f>
        <v/>
      </c>
      <c r="D111" s="39" t="str">
        <f>IF('Quote Items'!A100="","",'Quote Items'!S100)</f>
        <v/>
      </c>
      <c r="E111" s="38" t="str">
        <f>IF('Quote Items'!A100="","",'Quote Items'!F100)</f>
        <v/>
      </c>
      <c r="F111" s="39" t="str">
        <f>IF('Quote Items'!A100="","",'Quote Items'!H100)</f>
        <v/>
      </c>
      <c r="G111" s="39" t="str">
        <f>IF('Quote Items'!A100="","",'Quote Items'!AJ100)</f>
        <v/>
      </c>
      <c r="H111" s="44" t="str">
        <f>IF('Quote Items'!A100="","",'Quote Items'!AQ100)</f>
        <v/>
      </c>
      <c r="I111" s="44" t="str">
        <f>IF('Quote Items'!A100="","",'Quote Items'!AT100)</f>
        <v/>
      </c>
    </row>
    <row r="112" ht="15.75" customHeight="1">
      <c r="A112" s="38" t="str">
        <f>IF('Quote Items'!A101="","",'Quote Items'!A101)</f>
        <v/>
      </c>
      <c r="B112" s="39" t="str">
        <f>IF('Quote Items'!A101="","",'Quote Items'!E101)</f>
        <v/>
      </c>
      <c r="C112" s="39" t="str">
        <f>IF('Quote Items'!A101="","",'Quote Items'!O101)</f>
        <v/>
      </c>
      <c r="D112" s="39" t="str">
        <f>IF('Quote Items'!A101="","",'Quote Items'!S101)</f>
        <v/>
      </c>
      <c r="E112" s="38" t="str">
        <f>IF('Quote Items'!A101="","",'Quote Items'!F101)</f>
        <v/>
      </c>
      <c r="F112" s="39" t="str">
        <f>IF('Quote Items'!A101="","",'Quote Items'!H101)</f>
        <v/>
      </c>
      <c r="G112" s="39" t="str">
        <f>IF('Quote Items'!A101="","",'Quote Items'!AJ101)</f>
        <v/>
      </c>
      <c r="H112" s="44" t="str">
        <f>IF('Quote Items'!A101="","",'Quote Items'!AQ101)</f>
        <v/>
      </c>
      <c r="I112" s="44" t="str">
        <f>IF('Quote Items'!A101="","",'Quote Items'!AT101)</f>
        <v/>
      </c>
    </row>
    <row r="113" ht="15.75" customHeight="1">
      <c r="A113" s="4"/>
      <c r="B113" s="4"/>
      <c r="C113" s="4"/>
      <c r="D113" s="4"/>
      <c r="E113" s="4"/>
      <c r="F113" s="4"/>
      <c r="G113" s="4"/>
      <c r="H113" s="4"/>
      <c r="I113" s="4"/>
    </row>
    <row r="114" ht="15.75" customHeight="1">
      <c r="A114" s="4"/>
      <c r="B114" s="4"/>
      <c r="C114" s="4"/>
      <c r="D114" s="4"/>
      <c r="E114" s="4"/>
      <c r="F114" s="4"/>
      <c r="G114" s="4"/>
      <c r="H114" s="4"/>
      <c r="I114" s="4"/>
    </row>
    <row r="115" ht="15.75" customHeight="1">
      <c r="A115" s="4"/>
      <c r="B115" s="4"/>
      <c r="C115" s="4"/>
      <c r="D115" s="4"/>
      <c r="E115" s="4"/>
      <c r="F115" s="4"/>
      <c r="G115" s="4"/>
      <c r="H115" s="48" t="s">
        <v>83</v>
      </c>
      <c r="I115" s="49" t="str">
        <f>IF(AND(COUNTA('Quote Items'!$A$2:$A$101)&gt;0,COUNTIFS('Quote Items'!$A$2:$A$101,"&lt;&gt;",'Quote Items'!$AJ$2:$AJ$101,"&lt;&gt;Ready for Quote Review")=0),ROUND(SUM('Quote Items'!$AR$2:$AR$101),2),"")</f>
        <v/>
      </c>
    </row>
    <row r="116" ht="15.75" customHeight="1">
      <c r="A116" s="4"/>
      <c r="B116" s="4"/>
      <c r="C116" s="4"/>
      <c r="D116" s="4"/>
      <c r="E116" s="4"/>
      <c r="F116" s="4"/>
      <c r="G116" s="4"/>
      <c r="H116" s="48" t="s">
        <v>84</v>
      </c>
      <c r="I116" s="49" t="str">
        <f>IF(AND(COUNTA('Quote Items'!$A$2:$A$101)&gt;0,COUNTIFS('Quote Items'!$A$2:$A$101,"&lt;&gt;",'Quote Items'!$AJ$2:$AJ$101,"&lt;&gt;Ready for Quote Review")=0),ROUND(SUM('Quote Items'!$AS$2:$AS$101),2),"")</f>
        <v/>
      </c>
    </row>
    <row r="117" ht="15.75" customHeight="1">
      <c r="A117" s="4"/>
      <c r="B117" s="4"/>
      <c r="C117" s="4"/>
      <c r="D117" s="4"/>
      <c r="E117" s="4"/>
      <c r="F117" s="4"/>
      <c r="G117" s="4"/>
      <c r="H117" s="50" t="s">
        <v>85</v>
      </c>
      <c r="I117" s="51" t="str">
        <f>IF(AND(COUNTA('Quote Items'!$A$2:$A$101)&gt;0,COUNTIFS('Quote Items'!$A$2:$A$101,"&lt;&gt;",'Quote Items'!$AJ$2:$AJ$101,"&lt;&gt;Ready for Quote Review")=0),ROUND(SUM('Quote Items'!$AT$2:$AT$101),2),"")</f>
        <v/>
      </c>
    </row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4">
    <mergeCell ref="B6:C6"/>
    <mergeCell ref="B7:C7"/>
    <mergeCell ref="E7:F7"/>
    <mergeCell ref="H7:I7"/>
    <mergeCell ref="A9:B9"/>
    <mergeCell ref="C9:I9"/>
    <mergeCell ref="A10:I10"/>
    <mergeCell ref="A1:I2"/>
    <mergeCell ref="A3:I3"/>
    <mergeCell ref="B5:C5"/>
    <mergeCell ref="E5:F5"/>
    <mergeCell ref="H5:I5"/>
    <mergeCell ref="E6:F6"/>
    <mergeCell ref="H6:I6"/>
  </mergeCells>
  <conditionalFormatting sqref="F13:F112">
    <cfRule type="containsText" dxfId="0" priority="1" operator="containsText" text="Matched">
      <formula>NOT(ISERROR(SEARCH(("Matched"),(F13))))</formula>
    </cfRule>
  </conditionalFormatting>
  <conditionalFormatting sqref="F13:F112">
    <cfRule type="containsText" dxfId="1" priority="2" operator="containsText" text="Needs Review">
      <formula>NOT(ISERROR(SEARCH(("Needs Review"),(F13))))</formula>
    </cfRule>
  </conditionalFormatting>
  <conditionalFormatting sqref="G13:G112">
    <cfRule type="containsText" dxfId="0" priority="3" operator="containsText" text="Ready for Quote Review">
      <formula>NOT(ISERROR(SEARCH(("Ready for Quote Review"),(G13))))</formula>
    </cfRule>
  </conditionalFormatting>
  <conditionalFormatting sqref="G13:G112">
    <cfRule type="containsText" dxfId="1" priority="4" operator="containsText" text="Needs Product Review">
      <formula>NOT(ISERROR(SEARCH(("Needs Product Review"),(G13))))</formula>
    </cfRule>
  </conditionalFormatting>
  <conditionalFormatting sqref="G13:G112">
    <cfRule type="containsText" dxfId="2" priority="5" operator="containsText" text="Pricing Incomplete">
      <formula>NOT(ISERROR(SEARCH(("Pricing Incomplete"),(G13))))</formula>
    </cfRule>
  </conditionalFormatting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6.0"/>
    <col customWidth="1" min="2" max="2" width="24.0"/>
    <col customWidth="1" min="3" max="3" width="22.0"/>
    <col customWidth="1" min="4" max="5" width="18.0"/>
    <col customWidth="1" min="6" max="6" width="28.0"/>
    <col customWidth="1" min="7" max="7" width="20.0"/>
    <col customWidth="1" min="8" max="8" width="16.0"/>
    <col customWidth="1" min="9" max="9" width="26.0"/>
    <col customWidth="1" min="10" max="10" width="22.0"/>
    <col customWidth="1" min="11" max="11" width="42.0"/>
    <col customWidth="1" min="12" max="13" width="10.0"/>
    <col customWidth="1" min="14" max="15" width="12.0"/>
    <col customWidth="1" min="16" max="16" width="16.0"/>
    <col customWidth="1" min="17" max="17" width="14.0"/>
    <col customWidth="1" min="18" max="18" width="12.0"/>
    <col customWidth="1" min="19" max="19" width="20.38"/>
    <col customWidth="1" min="20" max="26" width="8.63"/>
  </cols>
  <sheetData>
    <row r="1" ht="37.5" customHeight="1">
      <c r="A1" s="2" t="s">
        <v>2</v>
      </c>
      <c r="B1" s="2" t="s">
        <v>4</v>
      </c>
      <c r="C1" s="2" t="s">
        <v>5</v>
      </c>
      <c r="D1" s="2" t="s">
        <v>6</v>
      </c>
      <c r="E1" s="2" t="s">
        <v>7</v>
      </c>
      <c r="F1" s="2" t="s">
        <v>9</v>
      </c>
      <c r="G1" s="2" t="s">
        <v>11</v>
      </c>
      <c r="H1" s="2" t="s">
        <v>14</v>
      </c>
      <c r="I1" s="2" t="s">
        <v>16</v>
      </c>
      <c r="J1" s="2" t="s">
        <v>18</v>
      </c>
      <c r="K1" s="2" t="s">
        <v>20</v>
      </c>
      <c r="L1" s="2" t="s">
        <v>22</v>
      </c>
      <c r="M1" s="2" t="s">
        <v>24</v>
      </c>
      <c r="N1" s="2" t="s">
        <v>26</v>
      </c>
      <c r="O1" s="2" t="s">
        <v>28</v>
      </c>
      <c r="P1" s="2" t="s">
        <v>30</v>
      </c>
      <c r="Q1" s="2" t="s">
        <v>32</v>
      </c>
      <c r="R1" s="2" t="s">
        <v>34</v>
      </c>
      <c r="S1" s="2" t="s">
        <v>35</v>
      </c>
    </row>
    <row r="2">
      <c r="A2" s="8"/>
      <c r="B2" s="8"/>
      <c r="C2" s="8"/>
      <c r="D2" s="10"/>
      <c r="E2" s="10"/>
      <c r="F2" s="8"/>
      <c r="G2" s="8"/>
      <c r="H2" s="8"/>
      <c r="I2" s="8"/>
      <c r="J2" s="10"/>
      <c r="K2" s="8"/>
      <c r="L2" s="8"/>
      <c r="M2" s="11"/>
      <c r="N2" s="12"/>
      <c r="O2" s="12"/>
      <c r="P2" s="12"/>
      <c r="Q2" s="12"/>
      <c r="R2" s="12"/>
      <c r="S2" s="1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9.0"/>
    <col customWidth="1" min="2" max="2" width="30.0"/>
    <col customWidth="1" min="3" max="3" width="18.0"/>
    <col customWidth="1" min="4" max="4" width="20.0"/>
    <col customWidth="1" min="5" max="5" width="24.0"/>
    <col customWidth="1" min="6" max="6" width="9.0"/>
    <col customWidth="1" min="7" max="7" width="24.0"/>
    <col customWidth="1" min="8" max="8" width="15.0"/>
    <col customWidth="1" min="9" max="9" width="17.63"/>
    <col customWidth="1" min="10" max="10" width="13.0"/>
    <col customWidth="1" min="11" max="12" width="18.0"/>
    <col customWidth="1" min="13" max="13" width="20.0"/>
    <col customWidth="1" min="14" max="14" width="14.0"/>
    <col customWidth="1" min="15" max="16" width="26.0"/>
    <col customWidth="1" min="17" max="17" width="34.0"/>
    <col customWidth="1" min="18" max="19" width="22.0"/>
    <col customWidth="1" min="20" max="20" width="12.0"/>
    <col customWidth="1" min="21" max="21" width="42.0"/>
    <col customWidth="1" min="22" max="26" width="44.0"/>
    <col customWidth="1" min="27" max="27" width="13.0"/>
    <col customWidth="1" min="28" max="28" width="18.0"/>
    <col customWidth="1" min="29" max="29" width="36.0"/>
    <col customWidth="1" min="30" max="30" width="18.0"/>
    <col customWidth="1" min="31" max="31" width="20.0"/>
    <col customWidth="1" min="32" max="33" width="18.0"/>
    <col customWidth="1" min="34" max="34" width="17.0"/>
    <col customWidth="1" min="35" max="35" width="16.0"/>
    <col customWidth="1" min="36" max="36" width="22.0"/>
    <col customWidth="1" min="37" max="37" width="20.0"/>
    <col customWidth="1" min="38" max="38" width="19.0"/>
    <col customWidth="1" min="39" max="40" width="18.0"/>
    <col customWidth="1" min="41" max="41" width="24.0"/>
    <col customWidth="1" min="42" max="42" width="17.0"/>
    <col customWidth="1" min="43" max="43" width="21.0"/>
    <col customWidth="1" min="44" max="44" width="20.0"/>
    <col customWidth="1" min="45" max="45" width="16.0"/>
    <col customWidth="1" min="46" max="46" width="20.0"/>
  </cols>
  <sheetData>
    <row r="1" ht="54.0" customHeight="1">
      <c r="A1" s="2" t="s">
        <v>1</v>
      </c>
      <c r="B1" s="2" t="s">
        <v>8</v>
      </c>
      <c r="C1" s="2" t="s">
        <v>10</v>
      </c>
      <c r="D1" s="2" t="s">
        <v>12</v>
      </c>
      <c r="E1" s="2" t="s">
        <v>15</v>
      </c>
      <c r="F1" s="2" t="s">
        <v>17</v>
      </c>
      <c r="G1" s="2" t="s">
        <v>19</v>
      </c>
      <c r="H1" s="2" t="s">
        <v>21</v>
      </c>
      <c r="I1" s="2" t="s">
        <v>23</v>
      </c>
      <c r="J1" s="2" t="s">
        <v>25</v>
      </c>
      <c r="K1" s="2" t="s">
        <v>27</v>
      </c>
      <c r="L1" s="2" t="s">
        <v>29</v>
      </c>
      <c r="M1" s="2" t="s">
        <v>31</v>
      </c>
      <c r="N1" s="2" t="s">
        <v>33</v>
      </c>
      <c r="O1" s="2" t="s">
        <v>36</v>
      </c>
      <c r="P1" s="2" t="s">
        <v>37</v>
      </c>
      <c r="Q1" s="2" t="s">
        <v>39</v>
      </c>
      <c r="R1" s="2" t="s">
        <v>40</v>
      </c>
      <c r="S1" s="2" t="s">
        <v>41</v>
      </c>
      <c r="T1" s="2" t="s">
        <v>42</v>
      </c>
      <c r="U1" s="2" t="s">
        <v>43</v>
      </c>
      <c r="V1" s="2" t="s">
        <v>44</v>
      </c>
      <c r="W1" s="2" t="s">
        <v>45</v>
      </c>
      <c r="X1" s="2" t="s">
        <v>46</v>
      </c>
      <c r="Y1" s="2" t="s">
        <v>48</v>
      </c>
      <c r="Z1" s="2" t="s">
        <v>49</v>
      </c>
      <c r="AA1" s="2" t="s">
        <v>50</v>
      </c>
      <c r="AB1" s="2" t="s">
        <v>51</v>
      </c>
      <c r="AC1" s="2" t="s">
        <v>52</v>
      </c>
      <c r="AD1" s="2" t="s">
        <v>53</v>
      </c>
      <c r="AE1" s="2" t="s">
        <v>55</v>
      </c>
      <c r="AF1" s="2" t="s">
        <v>56</v>
      </c>
      <c r="AG1" s="2" t="s">
        <v>57</v>
      </c>
      <c r="AH1" s="2" t="s">
        <v>58</v>
      </c>
      <c r="AI1" s="2" t="s">
        <v>59</v>
      </c>
      <c r="AJ1" s="17" t="s">
        <v>61</v>
      </c>
      <c r="AK1" s="17" t="s">
        <v>62</v>
      </c>
      <c r="AL1" s="17" t="s">
        <v>63</v>
      </c>
      <c r="AM1" s="17" t="s">
        <v>65</v>
      </c>
      <c r="AN1" s="17" t="s">
        <v>66</v>
      </c>
      <c r="AO1" s="17" t="s">
        <v>67</v>
      </c>
      <c r="AP1" s="17" t="s">
        <v>68</v>
      </c>
      <c r="AQ1" s="17" t="s">
        <v>69</v>
      </c>
      <c r="AR1" s="17" t="s">
        <v>71</v>
      </c>
      <c r="AS1" s="17" t="s">
        <v>72</v>
      </c>
      <c r="AT1" s="17" t="s">
        <v>73</v>
      </c>
    </row>
    <row r="2">
      <c r="A2" s="20"/>
      <c r="B2" s="21"/>
      <c r="C2" s="21"/>
      <c r="D2" s="21"/>
      <c r="E2" s="21"/>
      <c r="F2" s="20"/>
      <c r="G2" s="21"/>
      <c r="H2" s="21"/>
      <c r="I2" s="20"/>
      <c r="J2" s="25"/>
      <c r="K2" s="21"/>
      <c r="L2" s="21"/>
      <c r="M2" s="21"/>
      <c r="N2" s="25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8"/>
      <c r="AE2" s="28"/>
      <c r="AF2" s="29">
        <v>15.0</v>
      </c>
      <c r="AG2" s="30"/>
      <c r="AH2" s="28"/>
      <c r="AI2" s="21"/>
      <c r="AJ2" s="33" t="str">
        <f t="shared" ref="AJ2:AJ101" si="1">IF($A2="","",IF(OR($H2="Needs Review",$H2="Unmatched",$H2="Custom",$AA2=TRUE),"Needs Product Review",IF(AND(ISBLANK($AD2),ISBLANK($AF2),ISBLANK($AG2),ISBLANK($AH2)),"Ready for Pricing",IF(OR(ISBLANK($F2),$F2&lt;=0,ISBLANK($AD2),ISBLANK($AF2),ISBLANK($AG2),ISBLANK($AH2),$AI2=""),"Pricing Incomplete","Ready for Quote Review"))))</f>
        <v/>
      </c>
      <c r="AK2" s="35" t="str">
        <f t="shared" ref="AK2:AK101" si="2">IF($A2="","",IF(OR(ISBLANK($F2),$F2&lt;=0,ISBLANK($AD2),ISBLANK($AF2),ISBLANK($AG2),ISBLANK($AH2),$AI2=""),"",ROUND($AD2+IF(ISBLANK($AE2),0,$AE2),2)))</f>
        <v/>
      </c>
      <c r="AL2" s="35" t="str">
        <f t="shared" ref="AL2:AL101" si="3">IF($AK2="","",ROUND($AK2*($AF2/100),2))</f>
        <v/>
      </c>
      <c r="AM2" s="35" t="str">
        <f t="shared" ref="AM2:AM101" si="4">IF($AK2="","",ROUND($AK2-$AL2,2))</f>
        <v/>
      </c>
      <c r="AN2" s="35" t="str">
        <f t="shared" ref="AN2:AN101" si="5">IF($AM2="","",ROUND($AM2*($AG2/100),2))</f>
        <v/>
      </c>
      <c r="AO2" s="35" t="str">
        <f t="shared" ref="AO2:AO101" si="6">IF($AN2="","",ROUND($AM2+$AN2,2))</f>
        <v/>
      </c>
      <c r="AP2" s="35" t="str">
        <f t="shared" ref="AP2:AP101" si="7">IF($AO2="","",ROUND(IF($AI2="Per Unit",$AH2*$F2,IF($AI2="Once Off",$AH2,"")),2))</f>
        <v/>
      </c>
      <c r="AQ2" s="35" t="str">
        <f t="shared" ref="AQ2:AQ101" si="8">IF($AO2="","",ROUND($AO2+IF($AI2="Per Unit",$AH2,0),2))</f>
        <v/>
      </c>
      <c r="AR2" s="35" t="str">
        <f t="shared" ref="AR2:AR101" si="9">IF($AQ2="","",ROUND($AO2*$F2+$AP2,2))</f>
        <v/>
      </c>
      <c r="AS2" s="35" t="str">
        <f>IF($AR2="","",ROUND($AR2*'Client Data'!$M$2,2))</f>
        <v/>
      </c>
      <c r="AT2" s="35" t="str">
        <f t="shared" ref="AT2:AT101" si="10">IF($AR2="","",ROUND($AR2+$AS2,2))</f>
        <v/>
      </c>
    </row>
    <row r="3">
      <c r="A3" s="40"/>
      <c r="B3" s="41"/>
      <c r="C3" s="41"/>
      <c r="D3" s="41"/>
      <c r="E3" s="41"/>
      <c r="F3" s="40"/>
      <c r="G3" s="41"/>
      <c r="H3" s="41"/>
      <c r="I3" s="40"/>
      <c r="J3" s="42"/>
      <c r="K3" s="41"/>
      <c r="L3" s="41"/>
      <c r="M3" s="41"/>
      <c r="N3" s="42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3"/>
      <c r="AE3" s="43"/>
      <c r="AF3" s="45"/>
      <c r="AG3" s="45"/>
      <c r="AH3" s="43"/>
      <c r="AI3" s="41"/>
      <c r="AJ3" s="46" t="str">
        <f t="shared" si="1"/>
        <v/>
      </c>
      <c r="AK3" s="47" t="str">
        <f t="shared" si="2"/>
        <v/>
      </c>
      <c r="AL3" s="47" t="str">
        <f t="shared" si="3"/>
        <v/>
      </c>
      <c r="AM3" s="47" t="str">
        <f t="shared" si="4"/>
        <v/>
      </c>
      <c r="AN3" s="47" t="str">
        <f t="shared" si="5"/>
        <v/>
      </c>
      <c r="AO3" s="47" t="str">
        <f t="shared" si="6"/>
        <v/>
      </c>
      <c r="AP3" s="47" t="str">
        <f t="shared" si="7"/>
        <v/>
      </c>
      <c r="AQ3" s="47" t="str">
        <f t="shared" si="8"/>
        <v/>
      </c>
      <c r="AR3" s="47" t="str">
        <f t="shared" si="9"/>
        <v/>
      </c>
      <c r="AS3" s="47" t="str">
        <f>IF($AR3="","",ROUND($AR3*'Client Data'!$M$2,2))</f>
        <v/>
      </c>
      <c r="AT3" s="47" t="str">
        <f t="shared" si="10"/>
        <v/>
      </c>
    </row>
    <row r="4">
      <c r="A4" s="40"/>
      <c r="B4" s="41"/>
      <c r="C4" s="41"/>
      <c r="D4" s="41"/>
      <c r="E4" s="41"/>
      <c r="F4" s="40"/>
      <c r="G4" s="41"/>
      <c r="H4" s="41"/>
      <c r="I4" s="40"/>
      <c r="J4" s="42"/>
      <c r="K4" s="41"/>
      <c r="L4" s="41"/>
      <c r="M4" s="41"/>
      <c r="N4" s="42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3"/>
      <c r="AE4" s="43"/>
      <c r="AF4" s="45"/>
      <c r="AG4" s="45"/>
      <c r="AH4" s="43"/>
      <c r="AI4" s="41"/>
      <c r="AJ4" s="46" t="str">
        <f t="shared" si="1"/>
        <v/>
      </c>
      <c r="AK4" s="47" t="str">
        <f t="shared" si="2"/>
        <v/>
      </c>
      <c r="AL4" s="47" t="str">
        <f t="shared" si="3"/>
        <v/>
      </c>
      <c r="AM4" s="47" t="str">
        <f t="shared" si="4"/>
        <v/>
      </c>
      <c r="AN4" s="47" t="str">
        <f t="shared" si="5"/>
        <v/>
      </c>
      <c r="AO4" s="47" t="str">
        <f t="shared" si="6"/>
        <v/>
      </c>
      <c r="AP4" s="47" t="str">
        <f t="shared" si="7"/>
        <v/>
      </c>
      <c r="AQ4" s="47" t="str">
        <f t="shared" si="8"/>
        <v/>
      </c>
      <c r="AR4" s="47" t="str">
        <f t="shared" si="9"/>
        <v/>
      </c>
      <c r="AS4" s="47" t="str">
        <f>IF($AR4="","",ROUND($AR4*'Client Data'!$M$2,2))</f>
        <v/>
      </c>
      <c r="AT4" s="47" t="str">
        <f t="shared" si="10"/>
        <v/>
      </c>
    </row>
    <row r="5">
      <c r="A5" s="40"/>
      <c r="B5" s="41"/>
      <c r="C5" s="41"/>
      <c r="D5" s="41"/>
      <c r="E5" s="41"/>
      <c r="F5" s="40"/>
      <c r="G5" s="41"/>
      <c r="H5" s="41"/>
      <c r="I5" s="40"/>
      <c r="J5" s="42"/>
      <c r="K5" s="41"/>
      <c r="L5" s="41"/>
      <c r="M5" s="41"/>
      <c r="N5" s="42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3"/>
      <c r="AE5" s="43"/>
      <c r="AF5" s="45"/>
      <c r="AG5" s="45"/>
      <c r="AH5" s="43"/>
      <c r="AI5" s="41"/>
      <c r="AJ5" s="46" t="str">
        <f t="shared" si="1"/>
        <v/>
      </c>
      <c r="AK5" s="47" t="str">
        <f t="shared" si="2"/>
        <v/>
      </c>
      <c r="AL5" s="47" t="str">
        <f t="shared" si="3"/>
        <v/>
      </c>
      <c r="AM5" s="47" t="str">
        <f t="shared" si="4"/>
        <v/>
      </c>
      <c r="AN5" s="47" t="str">
        <f t="shared" si="5"/>
        <v/>
      </c>
      <c r="AO5" s="47" t="str">
        <f t="shared" si="6"/>
        <v/>
      </c>
      <c r="AP5" s="47" t="str">
        <f t="shared" si="7"/>
        <v/>
      </c>
      <c r="AQ5" s="47" t="str">
        <f t="shared" si="8"/>
        <v/>
      </c>
      <c r="AR5" s="47" t="str">
        <f t="shared" si="9"/>
        <v/>
      </c>
      <c r="AS5" s="47" t="str">
        <f>IF($AR5="","",ROUND($AR5*'Client Data'!$M$2,2))</f>
        <v/>
      </c>
      <c r="AT5" s="47" t="str">
        <f t="shared" si="10"/>
        <v/>
      </c>
    </row>
    <row r="6">
      <c r="A6" s="40"/>
      <c r="B6" s="41"/>
      <c r="C6" s="41"/>
      <c r="D6" s="41"/>
      <c r="E6" s="41"/>
      <c r="F6" s="40"/>
      <c r="G6" s="41"/>
      <c r="H6" s="41"/>
      <c r="I6" s="40"/>
      <c r="J6" s="42"/>
      <c r="K6" s="41"/>
      <c r="L6" s="41"/>
      <c r="M6" s="41"/>
      <c r="N6" s="42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3"/>
      <c r="AE6" s="43"/>
      <c r="AF6" s="45"/>
      <c r="AG6" s="45"/>
      <c r="AH6" s="43"/>
      <c r="AI6" s="41"/>
      <c r="AJ6" s="46" t="str">
        <f t="shared" si="1"/>
        <v/>
      </c>
      <c r="AK6" s="47" t="str">
        <f t="shared" si="2"/>
        <v/>
      </c>
      <c r="AL6" s="47" t="str">
        <f t="shared" si="3"/>
        <v/>
      </c>
      <c r="AM6" s="47" t="str">
        <f t="shared" si="4"/>
        <v/>
      </c>
      <c r="AN6" s="47" t="str">
        <f t="shared" si="5"/>
        <v/>
      </c>
      <c r="AO6" s="47" t="str">
        <f t="shared" si="6"/>
        <v/>
      </c>
      <c r="AP6" s="47" t="str">
        <f t="shared" si="7"/>
        <v/>
      </c>
      <c r="AQ6" s="47" t="str">
        <f t="shared" si="8"/>
        <v/>
      </c>
      <c r="AR6" s="47" t="str">
        <f t="shared" si="9"/>
        <v/>
      </c>
      <c r="AS6" s="47" t="str">
        <f>IF($AR6="","",ROUND($AR6*'Client Data'!$M$2,2))</f>
        <v/>
      </c>
      <c r="AT6" s="47" t="str">
        <f t="shared" si="10"/>
        <v/>
      </c>
    </row>
    <row r="7">
      <c r="A7" s="40"/>
      <c r="B7" s="41"/>
      <c r="C7" s="41"/>
      <c r="D7" s="41"/>
      <c r="E7" s="41"/>
      <c r="F7" s="40"/>
      <c r="G7" s="41"/>
      <c r="H7" s="41"/>
      <c r="I7" s="40"/>
      <c r="J7" s="42"/>
      <c r="K7" s="41"/>
      <c r="L7" s="41"/>
      <c r="M7" s="41"/>
      <c r="N7" s="42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3"/>
      <c r="AE7" s="43"/>
      <c r="AF7" s="45"/>
      <c r="AG7" s="45"/>
      <c r="AH7" s="43"/>
      <c r="AI7" s="41"/>
      <c r="AJ7" s="46" t="str">
        <f t="shared" si="1"/>
        <v/>
      </c>
      <c r="AK7" s="47" t="str">
        <f t="shared" si="2"/>
        <v/>
      </c>
      <c r="AL7" s="47" t="str">
        <f t="shared" si="3"/>
        <v/>
      </c>
      <c r="AM7" s="47" t="str">
        <f t="shared" si="4"/>
        <v/>
      </c>
      <c r="AN7" s="47" t="str">
        <f t="shared" si="5"/>
        <v/>
      </c>
      <c r="AO7" s="47" t="str">
        <f t="shared" si="6"/>
        <v/>
      </c>
      <c r="AP7" s="47" t="str">
        <f t="shared" si="7"/>
        <v/>
      </c>
      <c r="AQ7" s="47" t="str">
        <f t="shared" si="8"/>
        <v/>
      </c>
      <c r="AR7" s="47" t="str">
        <f t="shared" si="9"/>
        <v/>
      </c>
      <c r="AS7" s="47" t="str">
        <f>IF($AR7="","",ROUND($AR7*'Client Data'!$M$2,2))</f>
        <v/>
      </c>
      <c r="AT7" s="47" t="str">
        <f t="shared" si="10"/>
        <v/>
      </c>
    </row>
    <row r="8">
      <c r="A8" s="40"/>
      <c r="B8" s="41"/>
      <c r="C8" s="41"/>
      <c r="D8" s="41"/>
      <c r="E8" s="41"/>
      <c r="F8" s="40"/>
      <c r="G8" s="41"/>
      <c r="H8" s="41"/>
      <c r="I8" s="40"/>
      <c r="J8" s="42"/>
      <c r="K8" s="41"/>
      <c r="L8" s="41"/>
      <c r="M8" s="41"/>
      <c r="N8" s="42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3"/>
      <c r="AE8" s="43"/>
      <c r="AF8" s="45"/>
      <c r="AG8" s="45"/>
      <c r="AH8" s="43"/>
      <c r="AI8" s="41"/>
      <c r="AJ8" s="46" t="str">
        <f t="shared" si="1"/>
        <v/>
      </c>
      <c r="AK8" s="47" t="str">
        <f t="shared" si="2"/>
        <v/>
      </c>
      <c r="AL8" s="47" t="str">
        <f t="shared" si="3"/>
        <v/>
      </c>
      <c r="AM8" s="47" t="str">
        <f t="shared" si="4"/>
        <v/>
      </c>
      <c r="AN8" s="47" t="str">
        <f t="shared" si="5"/>
        <v/>
      </c>
      <c r="AO8" s="47" t="str">
        <f t="shared" si="6"/>
        <v/>
      </c>
      <c r="AP8" s="47" t="str">
        <f t="shared" si="7"/>
        <v/>
      </c>
      <c r="AQ8" s="47" t="str">
        <f t="shared" si="8"/>
        <v/>
      </c>
      <c r="AR8" s="47" t="str">
        <f t="shared" si="9"/>
        <v/>
      </c>
      <c r="AS8" s="47" t="str">
        <f>IF($AR8="","",ROUND($AR8*'Client Data'!$M$2,2))</f>
        <v/>
      </c>
      <c r="AT8" s="47" t="str">
        <f t="shared" si="10"/>
        <v/>
      </c>
    </row>
    <row r="9">
      <c r="A9" s="40"/>
      <c r="B9" s="41"/>
      <c r="C9" s="41"/>
      <c r="D9" s="41"/>
      <c r="E9" s="41"/>
      <c r="F9" s="40"/>
      <c r="G9" s="41"/>
      <c r="H9" s="41"/>
      <c r="I9" s="40"/>
      <c r="J9" s="42"/>
      <c r="K9" s="41"/>
      <c r="L9" s="41"/>
      <c r="M9" s="41"/>
      <c r="N9" s="42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3"/>
      <c r="AE9" s="43"/>
      <c r="AF9" s="45"/>
      <c r="AG9" s="45"/>
      <c r="AH9" s="43"/>
      <c r="AI9" s="41"/>
      <c r="AJ9" s="46" t="str">
        <f t="shared" si="1"/>
        <v/>
      </c>
      <c r="AK9" s="47" t="str">
        <f t="shared" si="2"/>
        <v/>
      </c>
      <c r="AL9" s="47" t="str">
        <f t="shared" si="3"/>
        <v/>
      </c>
      <c r="AM9" s="47" t="str">
        <f t="shared" si="4"/>
        <v/>
      </c>
      <c r="AN9" s="47" t="str">
        <f t="shared" si="5"/>
        <v/>
      </c>
      <c r="AO9" s="47" t="str">
        <f t="shared" si="6"/>
        <v/>
      </c>
      <c r="AP9" s="47" t="str">
        <f t="shared" si="7"/>
        <v/>
      </c>
      <c r="AQ9" s="47" t="str">
        <f t="shared" si="8"/>
        <v/>
      </c>
      <c r="AR9" s="47" t="str">
        <f t="shared" si="9"/>
        <v/>
      </c>
      <c r="AS9" s="47" t="str">
        <f>IF($AR9="","",ROUND($AR9*'Client Data'!$M$2,2))</f>
        <v/>
      </c>
      <c r="AT9" s="47" t="str">
        <f t="shared" si="10"/>
        <v/>
      </c>
    </row>
    <row r="10">
      <c r="A10" s="40"/>
      <c r="B10" s="41"/>
      <c r="C10" s="41"/>
      <c r="D10" s="41"/>
      <c r="E10" s="41"/>
      <c r="F10" s="40"/>
      <c r="G10" s="41"/>
      <c r="H10" s="41"/>
      <c r="I10" s="40"/>
      <c r="J10" s="42"/>
      <c r="K10" s="41"/>
      <c r="L10" s="41"/>
      <c r="M10" s="41"/>
      <c r="N10" s="42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3"/>
      <c r="AE10" s="43"/>
      <c r="AF10" s="45"/>
      <c r="AG10" s="45"/>
      <c r="AH10" s="43"/>
      <c r="AI10" s="41"/>
      <c r="AJ10" s="46" t="str">
        <f t="shared" si="1"/>
        <v/>
      </c>
      <c r="AK10" s="47" t="str">
        <f t="shared" si="2"/>
        <v/>
      </c>
      <c r="AL10" s="47" t="str">
        <f t="shared" si="3"/>
        <v/>
      </c>
      <c r="AM10" s="47" t="str">
        <f t="shared" si="4"/>
        <v/>
      </c>
      <c r="AN10" s="47" t="str">
        <f t="shared" si="5"/>
        <v/>
      </c>
      <c r="AO10" s="47" t="str">
        <f t="shared" si="6"/>
        <v/>
      </c>
      <c r="AP10" s="47" t="str">
        <f t="shared" si="7"/>
        <v/>
      </c>
      <c r="AQ10" s="47" t="str">
        <f t="shared" si="8"/>
        <v/>
      </c>
      <c r="AR10" s="47" t="str">
        <f t="shared" si="9"/>
        <v/>
      </c>
      <c r="AS10" s="47" t="str">
        <f>IF($AR10="","",ROUND($AR10*'Client Data'!$M$2,2))</f>
        <v/>
      </c>
      <c r="AT10" s="47" t="str">
        <f t="shared" si="10"/>
        <v/>
      </c>
    </row>
    <row r="11">
      <c r="A11" s="40"/>
      <c r="B11" s="41"/>
      <c r="C11" s="41"/>
      <c r="D11" s="41"/>
      <c r="E11" s="41"/>
      <c r="F11" s="40"/>
      <c r="G11" s="41"/>
      <c r="H11" s="41"/>
      <c r="I11" s="40"/>
      <c r="J11" s="42"/>
      <c r="K11" s="41"/>
      <c r="L11" s="41"/>
      <c r="M11" s="41"/>
      <c r="N11" s="42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3"/>
      <c r="AE11" s="43"/>
      <c r="AF11" s="45"/>
      <c r="AG11" s="45"/>
      <c r="AH11" s="43"/>
      <c r="AI11" s="41"/>
      <c r="AJ11" s="46" t="str">
        <f t="shared" si="1"/>
        <v/>
      </c>
      <c r="AK11" s="47" t="str">
        <f t="shared" si="2"/>
        <v/>
      </c>
      <c r="AL11" s="47" t="str">
        <f t="shared" si="3"/>
        <v/>
      </c>
      <c r="AM11" s="47" t="str">
        <f t="shared" si="4"/>
        <v/>
      </c>
      <c r="AN11" s="47" t="str">
        <f t="shared" si="5"/>
        <v/>
      </c>
      <c r="AO11" s="47" t="str">
        <f t="shared" si="6"/>
        <v/>
      </c>
      <c r="AP11" s="47" t="str">
        <f t="shared" si="7"/>
        <v/>
      </c>
      <c r="AQ11" s="47" t="str">
        <f t="shared" si="8"/>
        <v/>
      </c>
      <c r="AR11" s="47" t="str">
        <f t="shared" si="9"/>
        <v/>
      </c>
      <c r="AS11" s="47" t="str">
        <f>IF($AR11="","",ROUND($AR11*'Client Data'!$M$2,2))</f>
        <v/>
      </c>
      <c r="AT11" s="47" t="str">
        <f t="shared" si="10"/>
        <v/>
      </c>
    </row>
    <row r="12">
      <c r="A12" s="40"/>
      <c r="B12" s="41"/>
      <c r="C12" s="41"/>
      <c r="D12" s="41"/>
      <c r="E12" s="41"/>
      <c r="F12" s="40"/>
      <c r="G12" s="41"/>
      <c r="H12" s="41"/>
      <c r="I12" s="40"/>
      <c r="J12" s="42"/>
      <c r="K12" s="41"/>
      <c r="L12" s="41"/>
      <c r="M12" s="41"/>
      <c r="N12" s="42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3"/>
      <c r="AE12" s="43"/>
      <c r="AF12" s="45"/>
      <c r="AG12" s="45"/>
      <c r="AH12" s="43"/>
      <c r="AI12" s="41"/>
      <c r="AJ12" s="46" t="str">
        <f t="shared" si="1"/>
        <v/>
      </c>
      <c r="AK12" s="47" t="str">
        <f t="shared" si="2"/>
        <v/>
      </c>
      <c r="AL12" s="47" t="str">
        <f t="shared" si="3"/>
        <v/>
      </c>
      <c r="AM12" s="47" t="str">
        <f t="shared" si="4"/>
        <v/>
      </c>
      <c r="AN12" s="47" t="str">
        <f t="shared" si="5"/>
        <v/>
      </c>
      <c r="AO12" s="47" t="str">
        <f t="shared" si="6"/>
        <v/>
      </c>
      <c r="AP12" s="47" t="str">
        <f t="shared" si="7"/>
        <v/>
      </c>
      <c r="AQ12" s="47" t="str">
        <f t="shared" si="8"/>
        <v/>
      </c>
      <c r="AR12" s="47" t="str">
        <f t="shared" si="9"/>
        <v/>
      </c>
      <c r="AS12" s="47" t="str">
        <f>IF($AR12="","",ROUND($AR12*'Client Data'!$M$2,2))</f>
        <v/>
      </c>
      <c r="AT12" s="47" t="str">
        <f t="shared" si="10"/>
        <v/>
      </c>
    </row>
    <row r="13">
      <c r="A13" s="40"/>
      <c r="B13" s="41"/>
      <c r="C13" s="41"/>
      <c r="D13" s="41"/>
      <c r="E13" s="41"/>
      <c r="F13" s="40"/>
      <c r="G13" s="41"/>
      <c r="H13" s="41"/>
      <c r="I13" s="40"/>
      <c r="J13" s="42"/>
      <c r="K13" s="41"/>
      <c r="L13" s="41"/>
      <c r="M13" s="41"/>
      <c r="N13" s="42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3"/>
      <c r="AE13" s="43"/>
      <c r="AF13" s="45"/>
      <c r="AG13" s="45"/>
      <c r="AH13" s="43"/>
      <c r="AI13" s="41"/>
      <c r="AJ13" s="46" t="str">
        <f t="shared" si="1"/>
        <v/>
      </c>
      <c r="AK13" s="47" t="str">
        <f t="shared" si="2"/>
        <v/>
      </c>
      <c r="AL13" s="47" t="str">
        <f t="shared" si="3"/>
        <v/>
      </c>
      <c r="AM13" s="47" t="str">
        <f t="shared" si="4"/>
        <v/>
      </c>
      <c r="AN13" s="47" t="str">
        <f t="shared" si="5"/>
        <v/>
      </c>
      <c r="AO13" s="47" t="str">
        <f t="shared" si="6"/>
        <v/>
      </c>
      <c r="AP13" s="47" t="str">
        <f t="shared" si="7"/>
        <v/>
      </c>
      <c r="AQ13" s="47" t="str">
        <f t="shared" si="8"/>
        <v/>
      </c>
      <c r="AR13" s="47" t="str">
        <f t="shared" si="9"/>
        <v/>
      </c>
      <c r="AS13" s="47" t="str">
        <f>IF($AR13="","",ROUND($AR13*'Client Data'!$M$2,2))</f>
        <v/>
      </c>
      <c r="AT13" s="47" t="str">
        <f t="shared" si="10"/>
        <v/>
      </c>
    </row>
    <row r="14">
      <c r="A14" s="40"/>
      <c r="B14" s="41"/>
      <c r="C14" s="41"/>
      <c r="D14" s="41"/>
      <c r="E14" s="41"/>
      <c r="F14" s="40"/>
      <c r="G14" s="41"/>
      <c r="H14" s="41"/>
      <c r="I14" s="40"/>
      <c r="J14" s="42"/>
      <c r="K14" s="41"/>
      <c r="L14" s="41"/>
      <c r="M14" s="41"/>
      <c r="N14" s="42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3"/>
      <c r="AE14" s="43"/>
      <c r="AF14" s="45"/>
      <c r="AG14" s="45"/>
      <c r="AH14" s="43"/>
      <c r="AI14" s="41"/>
      <c r="AJ14" s="46" t="str">
        <f t="shared" si="1"/>
        <v/>
      </c>
      <c r="AK14" s="47" t="str">
        <f t="shared" si="2"/>
        <v/>
      </c>
      <c r="AL14" s="47" t="str">
        <f t="shared" si="3"/>
        <v/>
      </c>
      <c r="AM14" s="47" t="str">
        <f t="shared" si="4"/>
        <v/>
      </c>
      <c r="AN14" s="47" t="str">
        <f t="shared" si="5"/>
        <v/>
      </c>
      <c r="AO14" s="47" t="str">
        <f t="shared" si="6"/>
        <v/>
      </c>
      <c r="AP14" s="47" t="str">
        <f t="shared" si="7"/>
        <v/>
      </c>
      <c r="AQ14" s="47" t="str">
        <f t="shared" si="8"/>
        <v/>
      </c>
      <c r="AR14" s="47" t="str">
        <f t="shared" si="9"/>
        <v/>
      </c>
      <c r="AS14" s="47" t="str">
        <f>IF($AR14="","",ROUND($AR14*'Client Data'!$M$2,2))</f>
        <v/>
      </c>
      <c r="AT14" s="47" t="str">
        <f t="shared" si="10"/>
        <v/>
      </c>
    </row>
    <row r="15">
      <c r="A15" s="40"/>
      <c r="B15" s="41"/>
      <c r="C15" s="41"/>
      <c r="D15" s="41"/>
      <c r="E15" s="41"/>
      <c r="F15" s="40"/>
      <c r="G15" s="41"/>
      <c r="H15" s="41"/>
      <c r="I15" s="40"/>
      <c r="J15" s="42"/>
      <c r="K15" s="41"/>
      <c r="L15" s="41"/>
      <c r="M15" s="41"/>
      <c r="N15" s="42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3"/>
      <c r="AE15" s="43"/>
      <c r="AF15" s="45"/>
      <c r="AG15" s="45"/>
      <c r="AH15" s="43"/>
      <c r="AI15" s="41"/>
      <c r="AJ15" s="46" t="str">
        <f t="shared" si="1"/>
        <v/>
      </c>
      <c r="AK15" s="47" t="str">
        <f t="shared" si="2"/>
        <v/>
      </c>
      <c r="AL15" s="47" t="str">
        <f t="shared" si="3"/>
        <v/>
      </c>
      <c r="AM15" s="47" t="str">
        <f t="shared" si="4"/>
        <v/>
      </c>
      <c r="AN15" s="47" t="str">
        <f t="shared" si="5"/>
        <v/>
      </c>
      <c r="AO15" s="47" t="str">
        <f t="shared" si="6"/>
        <v/>
      </c>
      <c r="AP15" s="47" t="str">
        <f t="shared" si="7"/>
        <v/>
      </c>
      <c r="AQ15" s="47" t="str">
        <f t="shared" si="8"/>
        <v/>
      </c>
      <c r="AR15" s="47" t="str">
        <f t="shared" si="9"/>
        <v/>
      </c>
      <c r="AS15" s="47" t="str">
        <f>IF($AR15="","",ROUND($AR15*'Client Data'!$M$2,2))</f>
        <v/>
      </c>
      <c r="AT15" s="47" t="str">
        <f t="shared" si="10"/>
        <v/>
      </c>
    </row>
    <row r="16">
      <c r="A16" s="40"/>
      <c r="B16" s="41"/>
      <c r="C16" s="41"/>
      <c r="D16" s="41"/>
      <c r="E16" s="41"/>
      <c r="F16" s="40"/>
      <c r="G16" s="41"/>
      <c r="H16" s="41"/>
      <c r="I16" s="40"/>
      <c r="J16" s="42"/>
      <c r="K16" s="41"/>
      <c r="L16" s="41"/>
      <c r="M16" s="41"/>
      <c r="N16" s="42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3"/>
      <c r="AE16" s="43"/>
      <c r="AF16" s="45"/>
      <c r="AG16" s="45"/>
      <c r="AH16" s="43"/>
      <c r="AI16" s="41"/>
      <c r="AJ16" s="46" t="str">
        <f t="shared" si="1"/>
        <v/>
      </c>
      <c r="AK16" s="47" t="str">
        <f t="shared" si="2"/>
        <v/>
      </c>
      <c r="AL16" s="47" t="str">
        <f t="shared" si="3"/>
        <v/>
      </c>
      <c r="AM16" s="47" t="str">
        <f t="shared" si="4"/>
        <v/>
      </c>
      <c r="AN16" s="47" t="str">
        <f t="shared" si="5"/>
        <v/>
      </c>
      <c r="AO16" s="47" t="str">
        <f t="shared" si="6"/>
        <v/>
      </c>
      <c r="AP16" s="47" t="str">
        <f t="shared" si="7"/>
        <v/>
      </c>
      <c r="AQ16" s="47" t="str">
        <f t="shared" si="8"/>
        <v/>
      </c>
      <c r="AR16" s="47" t="str">
        <f t="shared" si="9"/>
        <v/>
      </c>
      <c r="AS16" s="47" t="str">
        <f>IF($AR16="","",ROUND($AR16*'Client Data'!$M$2,2))</f>
        <v/>
      </c>
      <c r="AT16" s="47" t="str">
        <f t="shared" si="10"/>
        <v/>
      </c>
    </row>
    <row r="17">
      <c r="A17" s="40"/>
      <c r="B17" s="41"/>
      <c r="C17" s="41"/>
      <c r="D17" s="41"/>
      <c r="E17" s="41"/>
      <c r="F17" s="40"/>
      <c r="G17" s="41"/>
      <c r="H17" s="41"/>
      <c r="I17" s="40"/>
      <c r="J17" s="42"/>
      <c r="K17" s="41"/>
      <c r="L17" s="41"/>
      <c r="M17" s="41"/>
      <c r="N17" s="42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3"/>
      <c r="AE17" s="43"/>
      <c r="AF17" s="45"/>
      <c r="AG17" s="45"/>
      <c r="AH17" s="43"/>
      <c r="AI17" s="41"/>
      <c r="AJ17" s="46" t="str">
        <f t="shared" si="1"/>
        <v/>
      </c>
      <c r="AK17" s="47" t="str">
        <f t="shared" si="2"/>
        <v/>
      </c>
      <c r="AL17" s="47" t="str">
        <f t="shared" si="3"/>
        <v/>
      </c>
      <c r="AM17" s="47" t="str">
        <f t="shared" si="4"/>
        <v/>
      </c>
      <c r="AN17" s="47" t="str">
        <f t="shared" si="5"/>
        <v/>
      </c>
      <c r="AO17" s="47" t="str">
        <f t="shared" si="6"/>
        <v/>
      </c>
      <c r="AP17" s="47" t="str">
        <f t="shared" si="7"/>
        <v/>
      </c>
      <c r="AQ17" s="47" t="str">
        <f t="shared" si="8"/>
        <v/>
      </c>
      <c r="AR17" s="47" t="str">
        <f t="shared" si="9"/>
        <v/>
      </c>
      <c r="AS17" s="47" t="str">
        <f>IF($AR17="","",ROUND($AR17*'Client Data'!$M$2,2))</f>
        <v/>
      </c>
      <c r="AT17" s="47" t="str">
        <f t="shared" si="10"/>
        <v/>
      </c>
    </row>
    <row r="18">
      <c r="A18" s="40"/>
      <c r="B18" s="41"/>
      <c r="C18" s="41"/>
      <c r="D18" s="41"/>
      <c r="E18" s="41"/>
      <c r="F18" s="40"/>
      <c r="G18" s="41"/>
      <c r="H18" s="41"/>
      <c r="I18" s="40"/>
      <c r="J18" s="42"/>
      <c r="K18" s="41"/>
      <c r="L18" s="41"/>
      <c r="M18" s="41"/>
      <c r="N18" s="42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3"/>
      <c r="AE18" s="43"/>
      <c r="AF18" s="45"/>
      <c r="AG18" s="45"/>
      <c r="AH18" s="43"/>
      <c r="AI18" s="41"/>
      <c r="AJ18" s="46" t="str">
        <f t="shared" si="1"/>
        <v/>
      </c>
      <c r="AK18" s="47" t="str">
        <f t="shared" si="2"/>
        <v/>
      </c>
      <c r="AL18" s="47" t="str">
        <f t="shared" si="3"/>
        <v/>
      </c>
      <c r="AM18" s="47" t="str">
        <f t="shared" si="4"/>
        <v/>
      </c>
      <c r="AN18" s="47" t="str">
        <f t="shared" si="5"/>
        <v/>
      </c>
      <c r="AO18" s="47" t="str">
        <f t="shared" si="6"/>
        <v/>
      </c>
      <c r="AP18" s="47" t="str">
        <f t="shared" si="7"/>
        <v/>
      </c>
      <c r="AQ18" s="47" t="str">
        <f t="shared" si="8"/>
        <v/>
      </c>
      <c r="AR18" s="47" t="str">
        <f t="shared" si="9"/>
        <v/>
      </c>
      <c r="AS18" s="47" t="str">
        <f>IF($AR18="","",ROUND($AR18*'Client Data'!$M$2,2))</f>
        <v/>
      </c>
      <c r="AT18" s="47" t="str">
        <f t="shared" si="10"/>
        <v/>
      </c>
    </row>
    <row r="19">
      <c r="A19" s="40"/>
      <c r="B19" s="41"/>
      <c r="C19" s="41"/>
      <c r="D19" s="41"/>
      <c r="E19" s="41"/>
      <c r="F19" s="40"/>
      <c r="G19" s="41"/>
      <c r="H19" s="41"/>
      <c r="I19" s="40"/>
      <c r="J19" s="42"/>
      <c r="K19" s="41"/>
      <c r="L19" s="41"/>
      <c r="M19" s="41"/>
      <c r="N19" s="42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3"/>
      <c r="AE19" s="43"/>
      <c r="AF19" s="45"/>
      <c r="AG19" s="45"/>
      <c r="AH19" s="43"/>
      <c r="AI19" s="41"/>
      <c r="AJ19" s="46" t="str">
        <f t="shared" si="1"/>
        <v/>
      </c>
      <c r="AK19" s="47" t="str">
        <f t="shared" si="2"/>
        <v/>
      </c>
      <c r="AL19" s="47" t="str">
        <f t="shared" si="3"/>
        <v/>
      </c>
      <c r="AM19" s="47" t="str">
        <f t="shared" si="4"/>
        <v/>
      </c>
      <c r="AN19" s="47" t="str">
        <f t="shared" si="5"/>
        <v/>
      </c>
      <c r="AO19" s="47" t="str">
        <f t="shared" si="6"/>
        <v/>
      </c>
      <c r="AP19" s="47" t="str">
        <f t="shared" si="7"/>
        <v/>
      </c>
      <c r="AQ19" s="47" t="str">
        <f t="shared" si="8"/>
        <v/>
      </c>
      <c r="AR19" s="47" t="str">
        <f t="shared" si="9"/>
        <v/>
      </c>
      <c r="AS19" s="47" t="str">
        <f>IF($AR19="","",ROUND($AR19*'Client Data'!$M$2,2))</f>
        <v/>
      </c>
      <c r="AT19" s="47" t="str">
        <f t="shared" si="10"/>
        <v/>
      </c>
    </row>
    <row r="20">
      <c r="A20" s="40"/>
      <c r="B20" s="41"/>
      <c r="C20" s="41"/>
      <c r="D20" s="41"/>
      <c r="E20" s="41"/>
      <c r="F20" s="40"/>
      <c r="G20" s="41"/>
      <c r="H20" s="41"/>
      <c r="I20" s="40"/>
      <c r="J20" s="42"/>
      <c r="K20" s="41"/>
      <c r="L20" s="41"/>
      <c r="M20" s="41"/>
      <c r="N20" s="42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3"/>
      <c r="AE20" s="43"/>
      <c r="AF20" s="45"/>
      <c r="AG20" s="45"/>
      <c r="AH20" s="43"/>
      <c r="AI20" s="41"/>
      <c r="AJ20" s="46" t="str">
        <f t="shared" si="1"/>
        <v/>
      </c>
      <c r="AK20" s="47" t="str">
        <f t="shared" si="2"/>
        <v/>
      </c>
      <c r="AL20" s="47" t="str">
        <f t="shared" si="3"/>
        <v/>
      </c>
      <c r="AM20" s="47" t="str">
        <f t="shared" si="4"/>
        <v/>
      </c>
      <c r="AN20" s="47" t="str">
        <f t="shared" si="5"/>
        <v/>
      </c>
      <c r="AO20" s="47" t="str">
        <f t="shared" si="6"/>
        <v/>
      </c>
      <c r="AP20" s="47" t="str">
        <f t="shared" si="7"/>
        <v/>
      </c>
      <c r="AQ20" s="47" t="str">
        <f t="shared" si="8"/>
        <v/>
      </c>
      <c r="AR20" s="47" t="str">
        <f t="shared" si="9"/>
        <v/>
      </c>
      <c r="AS20" s="47" t="str">
        <f>IF($AR20="","",ROUND($AR20*'Client Data'!$M$2,2))</f>
        <v/>
      </c>
      <c r="AT20" s="47" t="str">
        <f t="shared" si="10"/>
        <v/>
      </c>
    </row>
    <row r="21" ht="15.75" customHeight="1">
      <c r="A21" s="40"/>
      <c r="B21" s="41"/>
      <c r="C21" s="41"/>
      <c r="D21" s="41"/>
      <c r="E21" s="41"/>
      <c r="F21" s="40"/>
      <c r="G21" s="41"/>
      <c r="H21" s="41"/>
      <c r="I21" s="40"/>
      <c r="J21" s="42"/>
      <c r="K21" s="41"/>
      <c r="L21" s="41"/>
      <c r="M21" s="41"/>
      <c r="N21" s="42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3"/>
      <c r="AE21" s="43"/>
      <c r="AF21" s="45"/>
      <c r="AG21" s="45"/>
      <c r="AH21" s="43"/>
      <c r="AI21" s="41"/>
      <c r="AJ21" s="46" t="str">
        <f t="shared" si="1"/>
        <v/>
      </c>
      <c r="AK21" s="47" t="str">
        <f t="shared" si="2"/>
        <v/>
      </c>
      <c r="AL21" s="47" t="str">
        <f t="shared" si="3"/>
        <v/>
      </c>
      <c r="AM21" s="47" t="str">
        <f t="shared" si="4"/>
        <v/>
      </c>
      <c r="AN21" s="47" t="str">
        <f t="shared" si="5"/>
        <v/>
      </c>
      <c r="AO21" s="47" t="str">
        <f t="shared" si="6"/>
        <v/>
      </c>
      <c r="AP21" s="47" t="str">
        <f t="shared" si="7"/>
        <v/>
      </c>
      <c r="AQ21" s="47" t="str">
        <f t="shared" si="8"/>
        <v/>
      </c>
      <c r="AR21" s="47" t="str">
        <f t="shared" si="9"/>
        <v/>
      </c>
      <c r="AS21" s="47" t="str">
        <f>IF($AR21="","",ROUND($AR21*'Client Data'!$M$2,2))</f>
        <v/>
      </c>
      <c r="AT21" s="47" t="str">
        <f t="shared" si="10"/>
        <v/>
      </c>
    </row>
    <row r="22" ht="15.75" customHeight="1">
      <c r="A22" s="40"/>
      <c r="B22" s="41"/>
      <c r="C22" s="41"/>
      <c r="D22" s="41"/>
      <c r="E22" s="41"/>
      <c r="F22" s="40"/>
      <c r="G22" s="41"/>
      <c r="H22" s="41"/>
      <c r="I22" s="40"/>
      <c r="J22" s="42"/>
      <c r="K22" s="41"/>
      <c r="L22" s="41"/>
      <c r="M22" s="41"/>
      <c r="N22" s="42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3"/>
      <c r="AE22" s="43"/>
      <c r="AF22" s="45"/>
      <c r="AG22" s="45"/>
      <c r="AH22" s="43"/>
      <c r="AI22" s="41"/>
      <c r="AJ22" s="46" t="str">
        <f t="shared" si="1"/>
        <v/>
      </c>
      <c r="AK22" s="47" t="str">
        <f t="shared" si="2"/>
        <v/>
      </c>
      <c r="AL22" s="47" t="str">
        <f t="shared" si="3"/>
        <v/>
      </c>
      <c r="AM22" s="47" t="str">
        <f t="shared" si="4"/>
        <v/>
      </c>
      <c r="AN22" s="47" t="str">
        <f t="shared" si="5"/>
        <v/>
      </c>
      <c r="AO22" s="47" t="str">
        <f t="shared" si="6"/>
        <v/>
      </c>
      <c r="AP22" s="47" t="str">
        <f t="shared" si="7"/>
        <v/>
      </c>
      <c r="AQ22" s="47" t="str">
        <f t="shared" si="8"/>
        <v/>
      </c>
      <c r="AR22" s="47" t="str">
        <f t="shared" si="9"/>
        <v/>
      </c>
      <c r="AS22" s="47" t="str">
        <f>IF($AR22="","",ROUND($AR22*'Client Data'!$M$2,2))</f>
        <v/>
      </c>
      <c r="AT22" s="47" t="str">
        <f t="shared" si="10"/>
        <v/>
      </c>
    </row>
    <row r="23" ht="15.75" customHeight="1">
      <c r="A23" s="40"/>
      <c r="B23" s="41"/>
      <c r="C23" s="41"/>
      <c r="D23" s="41"/>
      <c r="E23" s="41"/>
      <c r="F23" s="40"/>
      <c r="G23" s="41"/>
      <c r="H23" s="41"/>
      <c r="I23" s="40"/>
      <c r="J23" s="42"/>
      <c r="K23" s="41"/>
      <c r="L23" s="41"/>
      <c r="M23" s="41"/>
      <c r="N23" s="42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3"/>
      <c r="AE23" s="43"/>
      <c r="AF23" s="45"/>
      <c r="AG23" s="45"/>
      <c r="AH23" s="43"/>
      <c r="AI23" s="41"/>
      <c r="AJ23" s="46" t="str">
        <f t="shared" si="1"/>
        <v/>
      </c>
      <c r="AK23" s="47" t="str">
        <f t="shared" si="2"/>
        <v/>
      </c>
      <c r="AL23" s="47" t="str">
        <f t="shared" si="3"/>
        <v/>
      </c>
      <c r="AM23" s="47" t="str">
        <f t="shared" si="4"/>
        <v/>
      </c>
      <c r="AN23" s="47" t="str">
        <f t="shared" si="5"/>
        <v/>
      </c>
      <c r="AO23" s="47" t="str">
        <f t="shared" si="6"/>
        <v/>
      </c>
      <c r="AP23" s="47" t="str">
        <f t="shared" si="7"/>
        <v/>
      </c>
      <c r="AQ23" s="47" t="str">
        <f t="shared" si="8"/>
        <v/>
      </c>
      <c r="AR23" s="47" t="str">
        <f t="shared" si="9"/>
        <v/>
      </c>
      <c r="AS23" s="47" t="str">
        <f>IF($AR23="","",ROUND($AR23*'Client Data'!$M$2,2))</f>
        <v/>
      </c>
      <c r="AT23" s="47" t="str">
        <f t="shared" si="10"/>
        <v/>
      </c>
    </row>
    <row r="24" ht="15.75" customHeight="1">
      <c r="A24" s="40"/>
      <c r="B24" s="41"/>
      <c r="C24" s="41"/>
      <c r="D24" s="41"/>
      <c r="E24" s="41"/>
      <c r="F24" s="40"/>
      <c r="G24" s="41"/>
      <c r="H24" s="41"/>
      <c r="I24" s="40"/>
      <c r="J24" s="42"/>
      <c r="K24" s="41"/>
      <c r="L24" s="41"/>
      <c r="M24" s="41"/>
      <c r="N24" s="42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3"/>
      <c r="AE24" s="43"/>
      <c r="AF24" s="45"/>
      <c r="AG24" s="45"/>
      <c r="AH24" s="43"/>
      <c r="AI24" s="41"/>
      <c r="AJ24" s="46" t="str">
        <f t="shared" si="1"/>
        <v/>
      </c>
      <c r="AK24" s="47" t="str">
        <f t="shared" si="2"/>
        <v/>
      </c>
      <c r="AL24" s="47" t="str">
        <f t="shared" si="3"/>
        <v/>
      </c>
      <c r="AM24" s="47" t="str">
        <f t="shared" si="4"/>
        <v/>
      </c>
      <c r="AN24" s="47" t="str">
        <f t="shared" si="5"/>
        <v/>
      </c>
      <c r="AO24" s="47" t="str">
        <f t="shared" si="6"/>
        <v/>
      </c>
      <c r="AP24" s="47" t="str">
        <f t="shared" si="7"/>
        <v/>
      </c>
      <c r="AQ24" s="47" t="str">
        <f t="shared" si="8"/>
        <v/>
      </c>
      <c r="AR24" s="47" t="str">
        <f t="shared" si="9"/>
        <v/>
      </c>
      <c r="AS24" s="47" t="str">
        <f>IF($AR24="","",ROUND($AR24*'Client Data'!$M$2,2))</f>
        <v/>
      </c>
      <c r="AT24" s="47" t="str">
        <f t="shared" si="10"/>
        <v/>
      </c>
    </row>
    <row r="25" ht="15.75" customHeight="1">
      <c r="A25" s="40"/>
      <c r="B25" s="41"/>
      <c r="C25" s="41"/>
      <c r="D25" s="41"/>
      <c r="E25" s="41"/>
      <c r="F25" s="40"/>
      <c r="G25" s="41"/>
      <c r="H25" s="41"/>
      <c r="I25" s="40"/>
      <c r="J25" s="42"/>
      <c r="K25" s="41"/>
      <c r="L25" s="41"/>
      <c r="M25" s="41"/>
      <c r="N25" s="42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3"/>
      <c r="AE25" s="43"/>
      <c r="AF25" s="45"/>
      <c r="AG25" s="45"/>
      <c r="AH25" s="43"/>
      <c r="AI25" s="41"/>
      <c r="AJ25" s="46" t="str">
        <f t="shared" si="1"/>
        <v/>
      </c>
      <c r="AK25" s="47" t="str">
        <f t="shared" si="2"/>
        <v/>
      </c>
      <c r="AL25" s="47" t="str">
        <f t="shared" si="3"/>
        <v/>
      </c>
      <c r="AM25" s="47" t="str">
        <f t="shared" si="4"/>
        <v/>
      </c>
      <c r="AN25" s="47" t="str">
        <f t="shared" si="5"/>
        <v/>
      </c>
      <c r="AO25" s="47" t="str">
        <f t="shared" si="6"/>
        <v/>
      </c>
      <c r="AP25" s="47" t="str">
        <f t="shared" si="7"/>
        <v/>
      </c>
      <c r="AQ25" s="47" t="str">
        <f t="shared" si="8"/>
        <v/>
      </c>
      <c r="AR25" s="47" t="str">
        <f t="shared" si="9"/>
        <v/>
      </c>
      <c r="AS25" s="47" t="str">
        <f>IF($AR25="","",ROUND($AR25*'Client Data'!$M$2,2))</f>
        <v/>
      </c>
      <c r="AT25" s="47" t="str">
        <f t="shared" si="10"/>
        <v/>
      </c>
    </row>
    <row r="26" ht="15.75" customHeight="1">
      <c r="A26" s="40"/>
      <c r="B26" s="41"/>
      <c r="C26" s="41"/>
      <c r="D26" s="41"/>
      <c r="E26" s="41"/>
      <c r="F26" s="40"/>
      <c r="G26" s="41"/>
      <c r="H26" s="41"/>
      <c r="I26" s="40"/>
      <c r="J26" s="42"/>
      <c r="K26" s="41"/>
      <c r="L26" s="41"/>
      <c r="M26" s="41"/>
      <c r="N26" s="42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3"/>
      <c r="AE26" s="43"/>
      <c r="AF26" s="45"/>
      <c r="AG26" s="45"/>
      <c r="AH26" s="43"/>
      <c r="AI26" s="41"/>
      <c r="AJ26" s="46" t="str">
        <f t="shared" si="1"/>
        <v/>
      </c>
      <c r="AK26" s="47" t="str">
        <f t="shared" si="2"/>
        <v/>
      </c>
      <c r="AL26" s="47" t="str">
        <f t="shared" si="3"/>
        <v/>
      </c>
      <c r="AM26" s="47" t="str">
        <f t="shared" si="4"/>
        <v/>
      </c>
      <c r="AN26" s="47" t="str">
        <f t="shared" si="5"/>
        <v/>
      </c>
      <c r="AO26" s="47" t="str">
        <f t="shared" si="6"/>
        <v/>
      </c>
      <c r="AP26" s="47" t="str">
        <f t="shared" si="7"/>
        <v/>
      </c>
      <c r="AQ26" s="47" t="str">
        <f t="shared" si="8"/>
        <v/>
      </c>
      <c r="AR26" s="47" t="str">
        <f t="shared" si="9"/>
        <v/>
      </c>
      <c r="AS26" s="47" t="str">
        <f>IF($AR26="","",ROUND($AR26*'Client Data'!$M$2,2))</f>
        <v/>
      </c>
      <c r="AT26" s="47" t="str">
        <f t="shared" si="10"/>
        <v/>
      </c>
    </row>
    <row r="27" ht="15.75" customHeight="1">
      <c r="A27" s="40"/>
      <c r="B27" s="41"/>
      <c r="C27" s="41"/>
      <c r="D27" s="41"/>
      <c r="E27" s="41"/>
      <c r="F27" s="40"/>
      <c r="G27" s="41"/>
      <c r="H27" s="41"/>
      <c r="I27" s="40"/>
      <c r="J27" s="42"/>
      <c r="K27" s="41"/>
      <c r="L27" s="41"/>
      <c r="M27" s="41"/>
      <c r="N27" s="42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3"/>
      <c r="AE27" s="43"/>
      <c r="AF27" s="45"/>
      <c r="AG27" s="45"/>
      <c r="AH27" s="43"/>
      <c r="AI27" s="41"/>
      <c r="AJ27" s="46" t="str">
        <f t="shared" si="1"/>
        <v/>
      </c>
      <c r="AK27" s="47" t="str">
        <f t="shared" si="2"/>
        <v/>
      </c>
      <c r="AL27" s="47" t="str">
        <f t="shared" si="3"/>
        <v/>
      </c>
      <c r="AM27" s="47" t="str">
        <f t="shared" si="4"/>
        <v/>
      </c>
      <c r="AN27" s="47" t="str">
        <f t="shared" si="5"/>
        <v/>
      </c>
      <c r="AO27" s="47" t="str">
        <f t="shared" si="6"/>
        <v/>
      </c>
      <c r="AP27" s="47" t="str">
        <f t="shared" si="7"/>
        <v/>
      </c>
      <c r="AQ27" s="47" t="str">
        <f t="shared" si="8"/>
        <v/>
      </c>
      <c r="AR27" s="47" t="str">
        <f t="shared" si="9"/>
        <v/>
      </c>
      <c r="AS27" s="47" t="str">
        <f>IF($AR27="","",ROUND($AR27*'Client Data'!$M$2,2))</f>
        <v/>
      </c>
      <c r="AT27" s="47" t="str">
        <f t="shared" si="10"/>
        <v/>
      </c>
    </row>
    <row r="28" ht="15.75" customHeight="1">
      <c r="A28" s="40"/>
      <c r="B28" s="41"/>
      <c r="C28" s="41"/>
      <c r="D28" s="41"/>
      <c r="E28" s="41"/>
      <c r="F28" s="40"/>
      <c r="G28" s="41"/>
      <c r="H28" s="41"/>
      <c r="I28" s="40"/>
      <c r="J28" s="42"/>
      <c r="K28" s="41"/>
      <c r="L28" s="41"/>
      <c r="M28" s="41"/>
      <c r="N28" s="42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3"/>
      <c r="AE28" s="43"/>
      <c r="AF28" s="45"/>
      <c r="AG28" s="45"/>
      <c r="AH28" s="43"/>
      <c r="AI28" s="41"/>
      <c r="AJ28" s="46" t="str">
        <f t="shared" si="1"/>
        <v/>
      </c>
      <c r="AK28" s="47" t="str">
        <f t="shared" si="2"/>
        <v/>
      </c>
      <c r="AL28" s="47" t="str">
        <f t="shared" si="3"/>
        <v/>
      </c>
      <c r="AM28" s="47" t="str">
        <f t="shared" si="4"/>
        <v/>
      </c>
      <c r="AN28" s="47" t="str">
        <f t="shared" si="5"/>
        <v/>
      </c>
      <c r="AO28" s="47" t="str">
        <f t="shared" si="6"/>
        <v/>
      </c>
      <c r="AP28" s="47" t="str">
        <f t="shared" si="7"/>
        <v/>
      </c>
      <c r="AQ28" s="47" t="str">
        <f t="shared" si="8"/>
        <v/>
      </c>
      <c r="AR28" s="47" t="str">
        <f t="shared" si="9"/>
        <v/>
      </c>
      <c r="AS28" s="47" t="str">
        <f>IF($AR28="","",ROUND($AR28*'Client Data'!$M$2,2))</f>
        <v/>
      </c>
      <c r="AT28" s="47" t="str">
        <f t="shared" si="10"/>
        <v/>
      </c>
    </row>
    <row r="29" ht="15.75" customHeight="1">
      <c r="A29" s="40"/>
      <c r="B29" s="41"/>
      <c r="C29" s="41"/>
      <c r="D29" s="41"/>
      <c r="E29" s="41"/>
      <c r="F29" s="40"/>
      <c r="G29" s="41"/>
      <c r="H29" s="41"/>
      <c r="I29" s="40"/>
      <c r="J29" s="42"/>
      <c r="K29" s="41"/>
      <c r="L29" s="41"/>
      <c r="M29" s="41"/>
      <c r="N29" s="42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3"/>
      <c r="AE29" s="43"/>
      <c r="AF29" s="45"/>
      <c r="AG29" s="45"/>
      <c r="AH29" s="43"/>
      <c r="AI29" s="41"/>
      <c r="AJ29" s="46" t="str">
        <f t="shared" si="1"/>
        <v/>
      </c>
      <c r="AK29" s="47" t="str">
        <f t="shared" si="2"/>
        <v/>
      </c>
      <c r="AL29" s="47" t="str">
        <f t="shared" si="3"/>
        <v/>
      </c>
      <c r="AM29" s="47" t="str">
        <f t="shared" si="4"/>
        <v/>
      </c>
      <c r="AN29" s="47" t="str">
        <f t="shared" si="5"/>
        <v/>
      </c>
      <c r="AO29" s="47" t="str">
        <f t="shared" si="6"/>
        <v/>
      </c>
      <c r="AP29" s="47" t="str">
        <f t="shared" si="7"/>
        <v/>
      </c>
      <c r="AQ29" s="47" t="str">
        <f t="shared" si="8"/>
        <v/>
      </c>
      <c r="AR29" s="47" t="str">
        <f t="shared" si="9"/>
        <v/>
      </c>
      <c r="AS29" s="47" t="str">
        <f>IF($AR29="","",ROUND($AR29*'Client Data'!$M$2,2))</f>
        <v/>
      </c>
      <c r="AT29" s="47" t="str">
        <f t="shared" si="10"/>
        <v/>
      </c>
    </row>
    <row r="30" ht="15.75" customHeight="1">
      <c r="A30" s="40"/>
      <c r="B30" s="41"/>
      <c r="C30" s="41"/>
      <c r="D30" s="41"/>
      <c r="E30" s="41"/>
      <c r="F30" s="40"/>
      <c r="G30" s="41"/>
      <c r="H30" s="41"/>
      <c r="I30" s="40"/>
      <c r="J30" s="42"/>
      <c r="K30" s="41"/>
      <c r="L30" s="41"/>
      <c r="M30" s="41"/>
      <c r="N30" s="42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3"/>
      <c r="AE30" s="43"/>
      <c r="AF30" s="45"/>
      <c r="AG30" s="45"/>
      <c r="AH30" s="43"/>
      <c r="AI30" s="41"/>
      <c r="AJ30" s="46" t="str">
        <f t="shared" si="1"/>
        <v/>
      </c>
      <c r="AK30" s="47" t="str">
        <f t="shared" si="2"/>
        <v/>
      </c>
      <c r="AL30" s="47" t="str">
        <f t="shared" si="3"/>
        <v/>
      </c>
      <c r="AM30" s="47" t="str">
        <f t="shared" si="4"/>
        <v/>
      </c>
      <c r="AN30" s="47" t="str">
        <f t="shared" si="5"/>
        <v/>
      </c>
      <c r="AO30" s="47" t="str">
        <f t="shared" si="6"/>
        <v/>
      </c>
      <c r="AP30" s="47" t="str">
        <f t="shared" si="7"/>
        <v/>
      </c>
      <c r="AQ30" s="47" t="str">
        <f t="shared" si="8"/>
        <v/>
      </c>
      <c r="AR30" s="47" t="str">
        <f t="shared" si="9"/>
        <v/>
      </c>
      <c r="AS30" s="47" t="str">
        <f>IF($AR30="","",ROUND($AR30*'Client Data'!$M$2,2))</f>
        <v/>
      </c>
      <c r="AT30" s="47" t="str">
        <f t="shared" si="10"/>
        <v/>
      </c>
    </row>
    <row r="31" ht="15.75" customHeight="1">
      <c r="A31" s="40"/>
      <c r="B31" s="41"/>
      <c r="C31" s="41"/>
      <c r="D31" s="41"/>
      <c r="E31" s="41"/>
      <c r="F31" s="40"/>
      <c r="G31" s="41"/>
      <c r="H31" s="41"/>
      <c r="I31" s="40"/>
      <c r="J31" s="42"/>
      <c r="K31" s="41"/>
      <c r="L31" s="41"/>
      <c r="M31" s="41"/>
      <c r="N31" s="42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3"/>
      <c r="AE31" s="43"/>
      <c r="AF31" s="45"/>
      <c r="AG31" s="45"/>
      <c r="AH31" s="43"/>
      <c r="AI31" s="41"/>
      <c r="AJ31" s="46" t="str">
        <f t="shared" si="1"/>
        <v/>
      </c>
      <c r="AK31" s="47" t="str">
        <f t="shared" si="2"/>
        <v/>
      </c>
      <c r="AL31" s="47" t="str">
        <f t="shared" si="3"/>
        <v/>
      </c>
      <c r="AM31" s="47" t="str">
        <f t="shared" si="4"/>
        <v/>
      </c>
      <c r="AN31" s="47" t="str">
        <f t="shared" si="5"/>
        <v/>
      </c>
      <c r="AO31" s="47" t="str">
        <f t="shared" si="6"/>
        <v/>
      </c>
      <c r="AP31" s="47" t="str">
        <f t="shared" si="7"/>
        <v/>
      </c>
      <c r="AQ31" s="47" t="str">
        <f t="shared" si="8"/>
        <v/>
      </c>
      <c r="AR31" s="47" t="str">
        <f t="shared" si="9"/>
        <v/>
      </c>
      <c r="AS31" s="47" t="str">
        <f>IF($AR31="","",ROUND($AR31*'Client Data'!$M$2,2))</f>
        <v/>
      </c>
      <c r="AT31" s="47" t="str">
        <f t="shared" si="10"/>
        <v/>
      </c>
    </row>
    <row r="32" ht="15.75" customHeight="1">
      <c r="A32" s="40"/>
      <c r="B32" s="41"/>
      <c r="C32" s="41"/>
      <c r="D32" s="41"/>
      <c r="E32" s="41"/>
      <c r="F32" s="40"/>
      <c r="G32" s="41"/>
      <c r="H32" s="41"/>
      <c r="I32" s="40"/>
      <c r="J32" s="42"/>
      <c r="K32" s="41"/>
      <c r="L32" s="41"/>
      <c r="M32" s="41"/>
      <c r="N32" s="42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3"/>
      <c r="AE32" s="43"/>
      <c r="AF32" s="45"/>
      <c r="AG32" s="45"/>
      <c r="AH32" s="43"/>
      <c r="AI32" s="41"/>
      <c r="AJ32" s="46" t="str">
        <f t="shared" si="1"/>
        <v/>
      </c>
      <c r="AK32" s="47" t="str">
        <f t="shared" si="2"/>
        <v/>
      </c>
      <c r="AL32" s="47" t="str">
        <f t="shared" si="3"/>
        <v/>
      </c>
      <c r="AM32" s="47" t="str">
        <f t="shared" si="4"/>
        <v/>
      </c>
      <c r="AN32" s="47" t="str">
        <f t="shared" si="5"/>
        <v/>
      </c>
      <c r="AO32" s="47" t="str">
        <f t="shared" si="6"/>
        <v/>
      </c>
      <c r="AP32" s="47" t="str">
        <f t="shared" si="7"/>
        <v/>
      </c>
      <c r="AQ32" s="47" t="str">
        <f t="shared" si="8"/>
        <v/>
      </c>
      <c r="AR32" s="47" t="str">
        <f t="shared" si="9"/>
        <v/>
      </c>
      <c r="AS32" s="47" t="str">
        <f>IF($AR32="","",ROUND($AR32*'Client Data'!$M$2,2))</f>
        <v/>
      </c>
      <c r="AT32" s="47" t="str">
        <f t="shared" si="10"/>
        <v/>
      </c>
    </row>
    <row r="33" ht="15.75" customHeight="1">
      <c r="A33" s="40"/>
      <c r="B33" s="41"/>
      <c r="C33" s="41"/>
      <c r="D33" s="41"/>
      <c r="E33" s="41"/>
      <c r="F33" s="40"/>
      <c r="G33" s="41"/>
      <c r="H33" s="41"/>
      <c r="I33" s="40"/>
      <c r="J33" s="42"/>
      <c r="K33" s="41"/>
      <c r="L33" s="41"/>
      <c r="M33" s="41"/>
      <c r="N33" s="42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3"/>
      <c r="AE33" s="43"/>
      <c r="AF33" s="45"/>
      <c r="AG33" s="45"/>
      <c r="AH33" s="43"/>
      <c r="AI33" s="41"/>
      <c r="AJ33" s="46" t="str">
        <f t="shared" si="1"/>
        <v/>
      </c>
      <c r="AK33" s="47" t="str">
        <f t="shared" si="2"/>
        <v/>
      </c>
      <c r="AL33" s="47" t="str">
        <f t="shared" si="3"/>
        <v/>
      </c>
      <c r="AM33" s="47" t="str">
        <f t="shared" si="4"/>
        <v/>
      </c>
      <c r="AN33" s="47" t="str">
        <f t="shared" si="5"/>
        <v/>
      </c>
      <c r="AO33" s="47" t="str">
        <f t="shared" si="6"/>
        <v/>
      </c>
      <c r="AP33" s="47" t="str">
        <f t="shared" si="7"/>
        <v/>
      </c>
      <c r="AQ33" s="47" t="str">
        <f t="shared" si="8"/>
        <v/>
      </c>
      <c r="AR33" s="47" t="str">
        <f t="shared" si="9"/>
        <v/>
      </c>
      <c r="AS33" s="47" t="str">
        <f>IF($AR33="","",ROUND($AR33*'Client Data'!$M$2,2))</f>
        <v/>
      </c>
      <c r="AT33" s="47" t="str">
        <f t="shared" si="10"/>
        <v/>
      </c>
    </row>
    <row r="34" ht="15.75" customHeight="1">
      <c r="A34" s="40"/>
      <c r="B34" s="41"/>
      <c r="C34" s="41"/>
      <c r="D34" s="41"/>
      <c r="E34" s="41"/>
      <c r="F34" s="40"/>
      <c r="G34" s="41"/>
      <c r="H34" s="41"/>
      <c r="I34" s="40"/>
      <c r="J34" s="42"/>
      <c r="K34" s="41"/>
      <c r="L34" s="41"/>
      <c r="M34" s="41"/>
      <c r="N34" s="42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3"/>
      <c r="AE34" s="43"/>
      <c r="AF34" s="45"/>
      <c r="AG34" s="45"/>
      <c r="AH34" s="43"/>
      <c r="AI34" s="41"/>
      <c r="AJ34" s="46" t="str">
        <f t="shared" si="1"/>
        <v/>
      </c>
      <c r="AK34" s="47" t="str">
        <f t="shared" si="2"/>
        <v/>
      </c>
      <c r="AL34" s="47" t="str">
        <f t="shared" si="3"/>
        <v/>
      </c>
      <c r="AM34" s="47" t="str">
        <f t="shared" si="4"/>
        <v/>
      </c>
      <c r="AN34" s="47" t="str">
        <f t="shared" si="5"/>
        <v/>
      </c>
      <c r="AO34" s="47" t="str">
        <f t="shared" si="6"/>
        <v/>
      </c>
      <c r="AP34" s="47" t="str">
        <f t="shared" si="7"/>
        <v/>
      </c>
      <c r="AQ34" s="47" t="str">
        <f t="shared" si="8"/>
        <v/>
      </c>
      <c r="AR34" s="47" t="str">
        <f t="shared" si="9"/>
        <v/>
      </c>
      <c r="AS34" s="47" t="str">
        <f>IF($AR34="","",ROUND($AR34*'Client Data'!$M$2,2))</f>
        <v/>
      </c>
      <c r="AT34" s="47" t="str">
        <f t="shared" si="10"/>
        <v/>
      </c>
    </row>
    <row r="35" ht="15.75" customHeight="1">
      <c r="A35" s="40"/>
      <c r="B35" s="41"/>
      <c r="C35" s="41"/>
      <c r="D35" s="41"/>
      <c r="E35" s="41"/>
      <c r="F35" s="40"/>
      <c r="G35" s="41"/>
      <c r="H35" s="41"/>
      <c r="I35" s="40"/>
      <c r="J35" s="42"/>
      <c r="K35" s="41"/>
      <c r="L35" s="41"/>
      <c r="M35" s="41"/>
      <c r="N35" s="42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3"/>
      <c r="AE35" s="43"/>
      <c r="AF35" s="45"/>
      <c r="AG35" s="45"/>
      <c r="AH35" s="43"/>
      <c r="AI35" s="41"/>
      <c r="AJ35" s="46" t="str">
        <f t="shared" si="1"/>
        <v/>
      </c>
      <c r="AK35" s="47" t="str">
        <f t="shared" si="2"/>
        <v/>
      </c>
      <c r="AL35" s="47" t="str">
        <f t="shared" si="3"/>
        <v/>
      </c>
      <c r="AM35" s="47" t="str">
        <f t="shared" si="4"/>
        <v/>
      </c>
      <c r="AN35" s="47" t="str">
        <f t="shared" si="5"/>
        <v/>
      </c>
      <c r="AO35" s="47" t="str">
        <f t="shared" si="6"/>
        <v/>
      </c>
      <c r="AP35" s="47" t="str">
        <f t="shared" si="7"/>
        <v/>
      </c>
      <c r="AQ35" s="47" t="str">
        <f t="shared" si="8"/>
        <v/>
      </c>
      <c r="AR35" s="47" t="str">
        <f t="shared" si="9"/>
        <v/>
      </c>
      <c r="AS35" s="47" t="str">
        <f>IF($AR35="","",ROUND($AR35*'Client Data'!$M$2,2))</f>
        <v/>
      </c>
      <c r="AT35" s="47" t="str">
        <f t="shared" si="10"/>
        <v/>
      </c>
    </row>
    <row r="36" ht="15.75" customHeight="1">
      <c r="A36" s="40"/>
      <c r="B36" s="41"/>
      <c r="C36" s="41"/>
      <c r="D36" s="41"/>
      <c r="E36" s="41"/>
      <c r="F36" s="40"/>
      <c r="G36" s="41"/>
      <c r="H36" s="41"/>
      <c r="I36" s="40"/>
      <c r="J36" s="42"/>
      <c r="K36" s="41"/>
      <c r="L36" s="41"/>
      <c r="M36" s="41"/>
      <c r="N36" s="42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3"/>
      <c r="AE36" s="43"/>
      <c r="AF36" s="45"/>
      <c r="AG36" s="45"/>
      <c r="AH36" s="43"/>
      <c r="AI36" s="41"/>
      <c r="AJ36" s="46" t="str">
        <f t="shared" si="1"/>
        <v/>
      </c>
      <c r="AK36" s="47" t="str">
        <f t="shared" si="2"/>
        <v/>
      </c>
      <c r="AL36" s="47" t="str">
        <f t="shared" si="3"/>
        <v/>
      </c>
      <c r="AM36" s="47" t="str">
        <f t="shared" si="4"/>
        <v/>
      </c>
      <c r="AN36" s="47" t="str">
        <f t="shared" si="5"/>
        <v/>
      </c>
      <c r="AO36" s="47" t="str">
        <f t="shared" si="6"/>
        <v/>
      </c>
      <c r="AP36" s="47" t="str">
        <f t="shared" si="7"/>
        <v/>
      </c>
      <c r="AQ36" s="47" t="str">
        <f t="shared" si="8"/>
        <v/>
      </c>
      <c r="AR36" s="47" t="str">
        <f t="shared" si="9"/>
        <v/>
      </c>
      <c r="AS36" s="47" t="str">
        <f>IF($AR36="","",ROUND($AR36*'Client Data'!$M$2,2))</f>
        <v/>
      </c>
      <c r="AT36" s="47" t="str">
        <f t="shared" si="10"/>
        <v/>
      </c>
    </row>
    <row r="37" ht="15.75" customHeight="1">
      <c r="A37" s="40"/>
      <c r="B37" s="41"/>
      <c r="C37" s="41"/>
      <c r="D37" s="41"/>
      <c r="E37" s="41"/>
      <c r="F37" s="40"/>
      <c r="G37" s="41"/>
      <c r="H37" s="41"/>
      <c r="I37" s="40"/>
      <c r="J37" s="42"/>
      <c r="K37" s="41"/>
      <c r="L37" s="41"/>
      <c r="M37" s="41"/>
      <c r="N37" s="42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3"/>
      <c r="AE37" s="43"/>
      <c r="AF37" s="45"/>
      <c r="AG37" s="45"/>
      <c r="AH37" s="43"/>
      <c r="AI37" s="41"/>
      <c r="AJ37" s="46" t="str">
        <f t="shared" si="1"/>
        <v/>
      </c>
      <c r="AK37" s="47" t="str">
        <f t="shared" si="2"/>
        <v/>
      </c>
      <c r="AL37" s="47" t="str">
        <f t="shared" si="3"/>
        <v/>
      </c>
      <c r="AM37" s="47" t="str">
        <f t="shared" si="4"/>
        <v/>
      </c>
      <c r="AN37" s="47" t="str">
        <f t="shared" si="5"/>
        <v/>
      </c>
      <c r="AO37" s="47" t="str">
        <f t="shared" si="6"/>
        <v/>
      </c>
      <c r="AP37" s="47" t="str">
        <f t="shared" si="7"/>
        <v/>
      </c>
      <c r="AQ37" s="47" t="str">
        <f t="shared" si="8"/>
        <v/>
      </c>
      <c r="AR37" s="47" t="str">
        <f t="shared" si="9"/>
        <v/>
      </c>
      <c r="AS37" s="47" t="str">
        <f>IF($AR37="","",ROUND($AR37*'Client Data'!$M$2,2))</f>
        <v/>
      </c>
      <c r="AT37" s="47" t="str">
        <f t="shared" si="10"/>
        <v/>
      </c>
    </row>
    <row r="38" ht="15.75" customHeight="1">
      <c r="A38" s="40"/>
      <c r="B38" s="41"/>
      <c r="C38" s="41"/>
      <c r="D38" s="41"/>
      <c r="E38" s="41"/>
      <c r="F38" s="40"/>
      <c r="G38" s="41"/>
      <c r="H38" s="41"/>
      <c r="I38" s="40"/>
      <c r="J38" s="42"/>
      <c r="K38" s="41"/>
      <c r="L38" s="41"/>
      <c r="M38" s="41"/>
      <c r="N38" s="42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3"/>
      <c r="AE38" s="43"/>
      <c r="AF38" s="45"/>
      <c r="AG38" s="45"/>
      <c r="AH38" s="43"/>
      <c r="AI38" s="41"/>
      <c r="AJ38" s="46" t="str">
        <f t="shared" si="1"/>
        <v/>
      </c>
      <c r="AK38" s="47" t="str">
        <f t="shared" si="2"/>
        <v/>
      </c>
      <c r="AL38" s="47" t="str">
        <f t="shared" si="3"/>
        <v/>
      </c>
      <c r="AM38" s="47" t="str">
        <f t="shared" si="4"/>
        <v/>
      </c>
      <c r="AN38" s="47" t="str">
        <f t="shared" si="5"/>
        <v/>
      </c>
      <c r="AO38" s="47" t="str">
        <f t="shared" si="6"/>
        <v/>
      </c>
      <c r="AP38" s="47" t="str">
        <f t="shared" si="7"/>
        <v/>
      </c>
      <c r="AQ38" s="47" t="str">
        <f t="shared" si="8"/>
        <v/>
      </c>
      <c r="AR38" s="47" t="str">
        <f t="shared" si="9"/>
        <v/>
      </c>
      <c r="AS38" s="47" t="str">
        <f>IF($AR38="","",ROUND($AR38*'Client Data'!$M$2,2))</f>
        <v/>
      </c>
      <c r="AT38" s="47" t="str">
        <f t="shared" si="10"/>
        <v/>
      </c>
    </row>
    <row r="39" ht="15.75" customHeight="1">
      <c r="A39" s="40"/>
      <c r="B39" s="41"/>
      <c r="C39" s="41"/>
      <c r="D39" s="41"/>
      <c r="E39" s="41"/>
      <c r="F39" s="40"/>
      <c r="G39" s="41"/>
      <c r="H39" s="41"/>
      <c r="I39" s="40"/>
      <c r="J39" s="42"/>
      <c r="K39" s="41"/>
      <c r="L39" s="41"/>
      <c r="M39" s="41"/>
      <c r="N39" s="42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3"/>
      <c r="AE39" s="43"/>
      <c r="AF39" s="45"/>
      <c r="AG39" s="45"/>
      <c r="AH39" s="43"/>
      <c r="AI39" s="41"/>
      <c r="AJ39" s="46" t="str">
        <f t="shared" si="1"/>
        <v/>
      </c>
      <c r="AK39" s="47" t="str">
        <f t="shared" si="2"/>
        <v/>
      </c>
      <c r="AL39" s="47" t="str">
        <f t="shared" si="3"/>
        <v/>
      </c>
      <c r="AM39" s="47" t="str">
        <f t="shared" si="4"/>
        <v/>
      </c>
      <c r="AN39" s="47" t="str">
        <f t="shared" si="5"/>
        <v/>
      </c>
      <c r="AO39" s="47" t="str">
        <f t="shared" si="6"/>
        <v/>
      </c>
      <c r="AP39" s="47" t="str">
        <f t="shared" si="7"/>
        <v/>
      </c>
      <c r="AQ39" s="47" t="str">
        <f t="shared" si="8"/>
        <v/>
      </c>
      <c r="AR39" s="47" t="str">
        <f t="shared" si="9"/>
        <v/>
      </c>
      <c r="AS39" s="47" t="str">
        <f>IF($AR39="","",ROUND($AR39*'Client Data'!$M$2,2))</f>
        <v/>
      </c>
      <c r="AT39" s="47" t="str">
        <f t="shared" si="10"/>
        <v/>
      </c>
    </row>
    <row r="40" ht="15.75" customHeight="1">
      <c r="A40" s="40"/>
      <c r="B40" s="41"/>
      <c r="C40" s="41"/>
      <c r="D40" s="41"/>
      <c r="E40" s="41"/>
      <c r="F40" s="40"/>
      <c r="G40" s="41"/>
      <c r="H40" s="41"/>
      <c r="I40" s="40"/>
      <c r="J40" s="42"/>
      <c r="K40" s="41"/>
      <c r="L40" s="41"/>
      <c r="M40" s="41"/>
      <c r="N40" s="42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3"/>
      <c r="AE40" s="43"/>
      <c r="AF40" s="45"/>
      <c r="AG40" s="45"/>
      <c r="AH40" s="43"/>
      <c r="AI40" s="41"/>
      <c r="AJ40" s="46" t="str">
        <f t="shared" si="1"/>
        <v/>
      </c>
      <c r="AK40" s="47" t="str">
        <f t="shared" si="2"/>
        <v/>
      </c>
      <c r="AL40" s="47" t="str">
        <f t="shared" si="3"/>
        <v/>
      </c>
      <c r="AM40" s="47" t="str">
        <f t="shared" si="4"/>
        <v/>
      </c>
      <c r="AN40" s="47" t="str">
        <f t="shared" si="5"/>
        <v/>
      </c>
      <c r="AO40" s="47" t="str">
        <f t="shared" si="6"/>
        <v/>
      </c>
      <c r="AP40" s="47" t="str">
        <f t="shared" si="7"/>
        <v/>
      </c>
      <c r="AQ40" s="47" t="str">
        <f t="shared" si="8"/>
        <v/>
      </c>
      <c r="AR40" s="47" t="str">
        <f t="shared" si="9"/>
        <v/>
      </c>
      <c r="AS40" s="47" t="str">
        <f>IF($AR40="","",ROUND($AR40*'Client Data'!$M$2,2))</f>
        <v/>
      </c>
      <c r="AT40" s="47" t="str">
        <f t="shared" si="10"/>
        <v/>
      </c>
    </row>
    <row r="41" ht="15.75" customHeight="1">
      <c r="A41" s="40"/>
      <c r="B41" s="41"/>
      <c r="C41" s="41"/>
      <c r="D41" s="41"/>
      <c r="E41" s="41"/>
      <c r="F41" s="40"/>
      <c r="G41" s="41"/>
      <c r="H41" s="41"/>
      <c r="I41" s="40"/>
      <c r="J41" s="42"/>
      <c r="K41" s="41"/>
      <c r="L41" s="41"/>
      <c r="M41" s="41"/>
      <c r="N41" s="42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3"/>
      <c r="AE41" s="43"/>
      <c r="AF41" s="45"/>
      <c r="AG41" s="45"/>
      <c r="AH41" s="43"/>
      <c r="AI41" s="41"/>
      <c r="AJ41" s="46" t="str">
        <f t="shared" si="1"/>
        <v/>
      </c>
      <c r="AK41" s="47" t="str">
        <f t="shared" si="2"/>
        <v/>
      </c>
      <c r="AL41" s="47" t="str">
        <f t="shared" si="3"/>
        <v/>
      </c>
      <c r="AM41" s="47" t="str">
        <f t="shared" si="4"/>
        <v/>
      </c>
      <c r="AN41" s="47" t="str">
        <f t="shared" si="5"/>
        <v/>
      </c>
      <c r="AO41" s="47" t="str">
        <f t="shared" si="6"/>
        <v/>
      </c>
      <c r="AP41" s="47" t="str">
        <f t="shared" si="7"/>
        <v/>
      </c>
      <c r="AQ41" s="47" t="str">
        <f t="shared" si="8"/>
        <v/>
      </c>
      <c r="AR41" s="47" t="str">
        <f t="shared" si="9"/>
        <v/>
      </c>
      <c r="AS41" s="47" t="str">
        <f>IF($AR41="","",ROUND($AR41*'Client Data'!$M$2,2))</f>
        <v/>
      </c>
      <c r="AT41" s="47" t="str">
        <f t="shared" si="10"/>
        <v/>
      </c>
    </row>
    <row r="42" ht="15.75" customHeight="1">
      <c r="A42" s="40"/>
      <c r="B42" s="41"/>
      <c r="C42" s="41"/>
      <c r="D42" s="41"/>
      <c r="E42" s="41"/>
      <c r="F42" s="40"/>
      <c r="G42" s="41"/>
      <c r="H42" s="41"/>
      <c r="I42" s="40"/>
      <c r="J42" s="42"/>
      <c r="K42" s="41"/>
      <c r="L42" s="41"/>
      <c r="M42" s="41"/>
      <c r="N42" s="42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3"/>
      <c r="AE42" s="43"/>
      <c r="AF42" s="45"/>
      <c r="AG42" s="45"/>
      <c r="AH42" s="43"/>
      <c r="AI42" s="41"/>
      <c r="AJ42" s="46" t="str">
        <f t="shared" si="1"/>
        <v/>
      </c>
      <c r="AK42" s="47" t="str">
        <f t="shared" si="2"/>
        <v/>
      </c>
      <c r="AL42" s="47" t="str">
        <f t="shared" si="3"/>
        <v/>
      </c>
      <c r="AM42" s="47" t="str">
        <f t="shared" si="4"/>
        <v/>
      </c>
      <c r="AN42" s="47" t="str">
        <f t="shared" si="5"/>
        <v/>
      </c>
      <c r="AO42" s="47" t="str">
        <f t="shared" si="6"/>
        <v/>
      </c>
      <c r="AP42" s="47" t="str">
        <f t="shared" si="7"/>
        <v/>
      </c>
      <c r="AQ42" s="47" t="str">
        <f t="shared" si="8"/>
        <v/>
      </c>
      <c r="AR42" s="47" t="str">
        <f t="shared" si="9"/>
        <v/>
      </c>
      <c r="AS42" s="47" t="str">
        <f>IF($AR42="","",ROUND($AR42*'Client Data'!$M$2,2))</f>
        <v/>
      </c>
      <c r="AT42" s="47" t="str">
        <f t="shared" si="10"/>
        <v/>
      </c>
    </row>
    <row r="43" ht="15.75" customHeight="1">
      <c r="A43" s="40"/>
      <c r="B43" s="41"/>
      <c r="C43" s="41"/>
      <c r="D43" s="41"/>
      <c r="E43" s="41"/>
      <c r="F43" s="40"/>
      <c r="G43" s="41"/>
      <c r="H43" s="41"/>
      <c r="I43" s="40"/>
      <c r="J43" s="42"/>
      <c r="K43" s="41"/>
      <c r="L43" s="41"/>
      <c r="M43" s="41"/>
      <c r="N43" s="42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3"/>
      <c r="AE43" s="43"/>
      <c r="AF43" s="45"/>
      <c r="AG43" s="45"/>
      <c r="AH43" s="43"/>
      <c r="AI43" s="41"/>
      <c r="AJ43" s="46" t="str">
        <f t="shared" si="1"/>
        <v/>
      </c>
      <c r="AK43" s="47" t="str">
        <f t="shared" si="2"/>
        <v/>
      </c>
      <c r="AL43" s="47" t="str">
        <f t="shared" si="3"/>
        <v/>
      </c>
      <c r="AM43" s="47" t="str">
        <f t="shared" si="4"/>
        <v/>
      </c>
      <c r="AN43" s="47" t="str">
        <f t="shared" si="5"/>
        <v/>
      </c>
      <c r="AO43" s="47" t="str">
        <f t="shared" si="6"/>
        <v/>
      </c>
      <c r="AP43" s="47" t="str">
        <f t="shared" si="7"/>
        <v/>
      </c>
      <c r="AQ43" s="47" t="str">
        <f t="shared" si="8"/>
        <v/>
      </c>
      <c r="AR43" s="47" t="str">
        <f t="shared" si="9"/>
        <v/>
      </c>
      <c r="AS43" s="47" t="str">
        <f>IF($AR43="","",ROUND($AR43*'Client Data'!$M$2,2))</f>
        <v/>
      </c>
      <c r="AT43" s="47" t="str">
        <f t="shared" si="10"/>
        <v/>
      </c>
    </row>
    <row r="44" ht="15.75" customHeight="1">
      <c r="A44" s="40"/>
      <c r="B44" s="41"/>
      <c r="C44" s="41"/>
      <c r="D44" s="41"/>
      <c r="E44" s="41"/>
      <c r="F44" s="40"/>
      <c r="G44" s="41"/>
      <c r="H44" s="41"/>
      <c r="I44" s="40"/>
      <c r="J44" s="42"/>
      <c r="K44" s="41"/>
      <c r="L44" s="41"/>
      <c r="M44" s="41"/>
      <c r="N44" s="42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3"/>
      <c r="AE44" s="43"/>
      <c r="AF44" s="45"/>
      <c r="AG44" s="45"/>
      <c r="AH44" s="43"/>
      <c r="AI44" s="41"/>
      <c r="AJ44" s="46" t="str">
        <f t="shared" si="1"/>
        <v/>
      </c>
      <c r="AK44" s="47" t="str">
        <f t="shared" si="2"/>
        <v/>
      </c>
      <c r="AL44" s="47" t="str">
        <f t="shared" si="3"/>
        <v/>
      </c>
      <c r="AM44" s="47" t="str">
        <f t="shared" si="4"/>
        <v/>
      </c>
      <c r="AN44" s="47" t="str">
        <f t="shared" si="5"/>
        <v/>
      </c>
      <c r="AO44" s="47" t="str">
        <f t="shared" si="6"/>
        <v/>
      </c>
      <c r="AP44" s="47" t="str">
        <f t="shared" si="7"/>
        <v/>
      </c>
      <c r="AQ44" s="47" t="str">
        <f t="shared" si="8"/>
        <v/>
      </c>
      <c r="AR44" s="47" t="str">
        <f t="shared" si="9"/>
        <v/>
      </c>
      <c r="AS44" s="47" t="str">
        <f>IF($AR44="","",ROUND($AR44*'Client Data'!$M$2,2))</f>
        <v/>
      </c>
      <c r="AT44" s="47" t="str">
        <f t="shared" si="10"/>
        <v/>
      </c>
    </row>
    <row r="45" ht="15.75" customHeight="1">
      <c r="A45" s="40"/>
      <c r="B45" s="41"/>
      <c r="C45" s="41"/>
      <c r="D45" s="41"/>
      <c r="E45" s="41"/>
      <c r="F45" s="40"/>
      <c r="G45" s="41"/>
      <c r="H45" s="41"/>
      <c r="I45" s="40"/>
      <c r="J45" s="42"/>
      <c r="K45" s="41"/>
      <c r="L45" s="41"/>
      <c r="M45" s="41"/>
      <c r="N45" s="42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3"/>
      <c r="AE45" s="43"/>
      <c r="AF45" s="45"/>
      <c r="AG45" s="45"/>
      <c r="AH45" s="43"/>
      <c r="AI45" s="41"/>
      <c r="AJ45" s="46" t="str">
        <f t="shared" si="1"/>
        <v/>
      </c>
      <c r="AK45" s="47" t="str">
        <f t="shared" si="2"/>
        <v/>
      </c>
      <c r="AL45" s="47" t="str">
        <f t="shared" si="3"/>
        <v/>
      </c>
      <c r="AM45" s="47" t="str">
        <f t="shared" si="4"/>
        <v/>
      </c>
      <c r="AN45" s="47" t="str">
        <f t="shared" si="5"/>
        <v/>
      </c>
      <c r="AO45" s="47" t="str">
        <f t="shared" si="6"/>
        <v/>
      </c>
      <c r="AP45" s="47" t="str">
        <f t="shared" si="7"/>
        <v/>
      </c>
      <c r="AQ45" s="47" t="str">
        <f t="shared" si="8"/>
        <v/>
      </c>
      <c r="AR45" s="47" t="str">
        <f t="shared" si="9"/>
        <v/>
      </c>
      <c r="AS45" s="47" t="str">
        <f>IF($AR45="","",ROUND($AR45*'Client Data'!$M$2,2))</f>
        <v/>
      </c>
      <c r="AT45" s="47" t="str">
        <f t="shared" si="10"/>
        <v/>
      </c>
    </row>
    <row r="46" ht="15.75" customHeight="1">
      <c r="A46" s="40"/>
      <c r="B46" s="41"/>
      <c r="C46" s="41"/>
      <c r="D46" s="41"/>
      <c r="E46" s="41"/>
      <c r="F46" s="40"/>
      <c r="G46" s="41"/>
      <c r="H46" s="41"/>
      <c r="I46" s="40"/>
      <c r="J46" s="42"/>
      <c r="K46" s="41"/>
      <c r="L46" s="41"/>
      <c r="M46" s="41"/>
      <c r="N46" s="42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3"/>
      <c r="AE46" s="43"/>
      <c r="AF46" s="45"/>
      <c r="AG46" s="45"/>
      <c r="AH46" s="43"/>
      <c r="AI46" s="41"/>
      <c r="AJ46" s="46" t="str">
        <f t="shared" si="1"/>
        <v/>
      </c>
      <c r="AK46" s="47" t="str">
        <f t="shared" si="2"/>
        <v/>
      </c>
      <c r="AL46" s="47" t="str">
        <f t="shared" si="3"/>
        <v/>
      </c>
      <c r="AM46" s="47" t="str">
        <f t="shared" si="4"/>
        <v/>
      </c>
      <c r="AN46" s="47" t="str">
        <f t="shared" si="5"/>
        <v/>
      </c>
      <c r="AO46" s="47" t="str">
        <f t="shared" si="6"/>
        <v/>
      </c>
      <c r="AP46" s="47" t="str">
        <f t="shared" si="7"/>
        <v/>
      </c>
      <c r="AQ46" s="47" t="str">
        <f t="shared" si="8"/>
        <v/>
      </c>
      <c r="AR46" s="47" t="str">
        <f t="shared" si="9"/>
        <v/>
      </c>
      <c r="AS46" s="47" t="str">
        <f>IF($AR46="","",ROUND($AR46*'Client Data'!$M$2,2))</f>
        <v/>
      </c>
      <c r="AT46" s="47" t="str">
        <f t="shared" si="10"/>
        <v/>
      </c>
    </row>
    <row r="47" ht="15.75" customHeight="1">
      <c r="A47" s="40"/>
      <c r="B47" s="41"/>
      <c r="C47" s="41"/>
      <c r="D47" s="41"/>
      <c r="E47" s="41"/>
      <c r="F47" s="40"/>
      <c r="G47" s="41"/>
      <c r="H47" s="41"/>
      <c r="I47" s="40"/>
      <c r="J47" s="42"/>
      <c r="K47" s="41"/>
      <c r="L47" s="41"/>
      <c r="M47" s="41"/>
      <c r="N47" s="42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3"/>
      <c r="AE47" s="43"/>
      <c r="AF47" s="45"/>
      <c r="AG47" s="45"/>
      <c r="AH47" s="43"/>
      <c r="AI47" s="41"/>
      <c r="AJ47" s="46" t="str">
        <f t="shared" si="1"/>
        <v/>
      </c>
      <c r="AK47" s="47" t="str">
        <f t="shared" si="2"/>
        <v/>
      </c>
      <c r="AL47" s="47" t="str">
        <f t="shared" si="3"/>
        <v/>
      </c>
      <c r="AM47" s="47" t="str">
        <f t="shared" si="4"/>
        <v/>
      </c>
      <c r="AN47" s="47" t="str">
        <f t="shared" si="5"/>
        <v/>
      </c>
      <c r="AO47" s="47" t="str">
        <f t="shared" si="6"/>
        <v/>
      </c>
      <c r="AP47" s="47" t="str">
        <f t="shared" si="7"/>
        <v/>
      </c>
      <c r="AQ47" s="47" t="str">
        <f t="shared" si="8"/>
        <v/>
      </c>
      <c r="AR47" s="47" t="str">
        <f t="shared" si="9"/>
        <v/>
      </c>
      <c r="AS47" s="47" t="str">
        <f>IF($AR47="","",ROUND($AR47*'Client Data'!$M$2,2))</f>
        <v/>
      </c>
      <c r="AT47" s="47" t="str">
        <f t="shared" si="10"/>
        <v/>
      </c>
    </row>
    <row r="48" ht="15.75" customHeight="1">
      <c r="A48" s="40"/>
      <c r="B48" s="41"/>
      <c r="C48" s="41"/>
      <c r="D48" s="41"/>
      <c r="E48" s="41"/>
      <c r="F48" s="40"/>
      <c r="G48" s="41"/>
      <c r="H48" s="41"/>
      <c r="I48" s="40"/>
      <c r="J48" s="42"/>
      <c r="K48" s="41"/>
      <c r="L48" s="41"/>
      <c r="M48" s="41"/>
      <c r="N48" s="42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3"/>
      <c r="AE48" s="43"/>
      <c r="AF48" s="45"/>
      <c r="AG48" s="45"/>
      <c r="AH48" s="43"/>
      <c r="AI48" s="41"/>
      <c r="AJ48" s="46" t="str">
        <f t="shared" si="1"/>
        <v/>
      </c>
      <c r="AK48" s="47" t="str">
        <f t="shared" si="2"/>
        <v/>
      </c>
      <c r="AL48" s="47" t="str">
        <f t="shared" si="3"/>
        <v/>
      </c>
      <c r="AM48" s="47" t="str">
        <f t="shared" si="4"/>
        <v/>
      </c>
      <c r="AN48" s="47" t="str">
        <f t="shared" si="5"/>
        <v/>
      </c>
      <c r="AO48" s="47" t="str">
        <f t="shared" si="6"/>
        <v/>
      </c>
      <c r="AP48" s="47" t="str">
        <f t="shared" si="7"/>
        <v/>
      </c>
      <c r="AQ48" s="47" t="str">
        <f t="shared" si="8"/>
        <v/>
      </c>
      <c r="AR48" s="47" t="str">
        <f t="shared" si="9"/>
        <v/>
      </c>
      <c r="AS48" s="47" t="str">
        <f>IF($AR48="","",ROUND($AR48*'Client Data'!$M$2,2))</f>
        <v/>
      </c>
      <c r="AT48" s="47" t="str">
        <f t="shared" si="10"/>
        <v/>
      </c>
    </row>
    <row r="49" ht="15.75" customHeight="1">
      <c r="A49" s="40"/>
      <c r="B49" s="41"/>
      <c r="C49" s="41"/>
      <c r="D49" s="41"/>
      <c r="E49" s="41"/>
      <c r="F49" s="40"/>
      <c r="G49" s="41"/>
      <c r="H49" s="41"/>
      <c r="I49" s="40"/>
      <c r="J49" s="42"/>
      <c r="K49" s="41"/>
      <c r="L49" s="41"/>
      <c r="M49" s="41"/>
      <c r="N49" s="42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3"/>
      <c r="AE49" s="43"/>
      <c r="AF49" s="45"/>
      <c r="AG49" s="45"/>
      <c r="AH49" s="43"/>
      <c r="AI49" s="41"/>
      <c r="AJ49" s="46" t="str">
        <f t="shared" si="1"/>
        <v/>
      </c>
      <c r="AK49" s="47" t="str">
        <f t="shared" si="2"/>
        <v/>
      </c>
      <c r="AL49" s="47" t="str">
        <f t="shared" si="3"/>
        <v/>
      </c>
      <c r="AM49" s="47" t="str">
        <f t="shared" si="4"/>
        <v/>
      </c>
      <c r="AN49" s="47" t="str">
        <f t="shared" si="5"/>
        <v/>
      </c>
      <c r="AO49" s="47" t="str">
        <f t="shared" si="6"/>
        <v/>
      </c>
      <c r="AP49" s="47" t="str">
        <f t="shared" si="7"/>
        <v/>
      </c>
      <c r="AQ49" s="47" t="str">
        <f t="shared" si="8"/>
        <v/>
      </c>
      <c r="AR49" s="47" t="str">
        <f t="shared" si="9"/>
        <v/>
      </c>
      <c r="AS49" s="47" t="str">
        <f>IF($AR49="","",ROUND($AR49*'Client Data'!$M$2,2))</f>
        <v/>
      </c>
      <c r="AT49" s="47" t="str">
        <f t="shared" si="10"/>
        <v/>
      </c>
    </row>
    <row r="50" ht="15.75" customHeight="1">
      <c r="A50" s="40"/>
      <c r="B50" s="41"/>
      <c r="C50" s="41"/>
      <c r="D50" s="41"/>
      <c r="E50" s="41"/>
      <c r="F50" s="40"/>
      <c r="G50" s="41"/>
      <c r="H50" s="41"/>
      <c r="I50" s="40"/>
      <c r="J50" s="42"/>
      <c r="K50" s="41"/>
      <c r="L50" s="41"/>
      <c r="M50" s="41"/>
      <c r="N50" s="42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3"/>
      <c r="AE50" s="43"/>
      <c r="AF50" s="45"/>
      <c r="AG50" s="45"/>
      <c r="AH50" s="43"/>
      <c r="AI50" s="41"/>
      <c r="AJ50" s="46" t="str">
        <f t="shared" si="1"/>
        <v/>
      </c>
      <c r="AK50" s="47" t="str">
        <f t="shared" si="2"/>
        <v/>
      </c>
      <c r="AL50" s="47" t="str">
        <f t="shared" si="3"/>
        <v/>
      </c>
      <c r="AM50" s="47" t="str">
        <f t="shared" si="4"/>
        <v/>
      </c>
      <c r="AN50" s="47" t="str">
        <f t="shared" si="5"/>
        <v/>
      </c>
      <c r="AO50" s="47" t="str">
        <f t="shared" si="6"/>
        <v/>
      </c>
      <c r="AP50" s="47" t="str">
        <f t="shared" si="7"/>
        <v/>
      </c>
      <c r="AQ50" s="47" t="str">
        <f t="shared" si="8"/>
        <v/>
      </c>
      <c r="AR50" s="47" t="str">
        <f t="shared" si="9"/>
        <v/>
      </c>
      <c r="AS50" s="47" t="str">
        <f>IF($AR50="","",ROUND($AR50*'Client Data'!$M$2,2))</f>
        <v/>
      </c>
      <c r="AT50" s="47" t="str">
        <f t="shared" si="10"/>
        <v/>
      </c>
    </row>
    <row r="51" ht="15.75" customHeight="1">
      <c r="A51" s="40"/>
      <c r="B51" s="41"/>
      <c r="C51" s="41"/>
      <c r="D51" s="41"/>
      <c r="E51" s="41"/>
      <c r="F51" s="40"/>
      <c r="G51" s="41"/>
      <c r="H51" s="41"/>
      <c r="I51" s="40"/>
      <c r="J51" s="42"/>
      <c r="K51" s="41"/>
      <c r="L51" s="41"/>
      <c r="M51" s="41"/>
      <c r="N51" s="42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3"/>
      <c r="AE51" s="43"/>
      <c r="AF51" s="45"/>
      <c r="AG51" s="45"/>
      <c r="AH51" s="43"/>
      <c r="AI51" s="41"/>
      <c r="AJ51" s="46" t="str">
        <f t="shared" si="1"/>
        <v/>
      </c>
      <c r="AK51" s="47" t="str">
        <f t="shared" si="2"/>
        <v/>
      </c>
      <c r="AL51" s="47" t="str">
        <f t="shared" si="3"/>
        <v/>
      </c>
      <c r="AM51" s="47" t="str">
        <f t="shared" si="4"/>
        <v/>
      </c>
      <c r="AN51" s="47" t="str">
        <f t="shared" si="5"/>
        <v/>
      </c>
      <c r="AO51" s="47" t="str">
        <f t="shared" si="6"/>
        <v/>
      </c>
      <c r="AP51" s="47" t="str">
        <f t="shared" si="7"/>
        <v/>
      </c>
      <c r="AQ51" s="47" t="str">
        <f t="shared" si="8"/>
        <v/>
      </c>
      <c r="AR51" s="47" t="str">
        <f t="shared" si="9"/>
        <v/>
      </c>
      <c r="AS51" s="47" t="str">
        <f>IF($AR51="","",ROUND($AR51*'Client Data'!$M$2,2))</f>
        <v/>
      </c>
      <c r="AT51" s="47" t="str">
        <f t="shared" si="10"/>
        <v/>
      </c>
    </row>
    <row r="52" ht="15.75" customHeight="1">
      <c r="A52" s="40"/>
      <c r="B52" s="41"/>
      <c r="C52" s="41"/>
      <c r="D52" s="41"/>
      <c r="E52" s="41"/>
      <c r="F52" s="40"/>
      <c r="G52" s="41"/>
      <c r="H52" s="41"/>
      <c r="I52" s="40"/>
      <c r="J52" s="42"/>
      <c r="K52" s="41"/>
      <c r="L52" s="41"/>
      <c r="M52" s="41"/>
      <c r="N52" s="42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3"/>
      <c r="AE52" s="43"/>
      <c r="AF52" s="45"/>
      <c r="AG52" s="45"/>
      <c r="AH52" s="43"/>
      <c r="AI52" s="41"/>
      <c r="AJ52" s="46" t="str">
        <f t="shared" si="1"/>
        <v/>
      </c>
      <c r="AK52" s="47" t="str">
        <f t="shared" si="2"/>
        <v/>
      </c>
      <c r="AL52" s="47" t="str">
        <f t="shared" si="3"/>
        <v/>
      </c>
      <c r="AM52" s="47" t="str">
        <f t="shared" si="4"/>
        <v/>
      </c>
      <c r="AN52" s="47" t="str">
        <f t="shared" si="5"/>
        <v/>
      </c>
      <c r="AO52" s="47" t="str">
        <f t="shared" si="6"/>
        <v/>
      </c>
      <c r="AP52" s="47" t="str">
        <f t="shared" si="7"/>
        <v/>
      </c>
      <c r="AQ52" s="47" t="str">
        <f t="shared" si="8"/>
        <v/>
      </c>
      <c r="AR52" s="47" t="str">
        <f t="shared" si="9"/>
        <v/>
      </c>
      <c r="AS52" s="47" t="str">
        <f>IF($AR52="","",ROUND($AR52*'Client Data'!$M$2,2))</f>
        <v/>
      </c>
      <c r="AT52" s="47" t="str">
        <f t="shared" si="10"/>
        <v/>
      </c>
    </row>
    <row r="53" ht="15.75" customHeight="1">
      <c r="A53" s="40"/>
      <c r="B53" s="41"/>
      <c r="C53" s="41"/>
      <c r="D53" s="41"/>
      <c r="E53" s="41"/>
      <c r="F53" s="40"/>
      <c r="G53" s="41"/>
      <c r="H53" s="41"/>
      <c r="I53" s="40"/>
      <c r="J53" s="42"/>
      <c r="K53" s="41"/>
      <c r="L53" s="41"/>
      <c r="M53" s="41"/>
      <c r="N53" s="42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3"/>
      <c r="AE53" s="43"/>
      <c r="AF53" s="45"/>
      <c r="AG53" s="45"/>
      <c r="AH53" s="43"/>
      <c r="AI53" s="41"/>
      <c r="AJ53" s="46" t="str">
        <f t="shared" si="1"/>
        <v/>
      </c>
      <c r="AK53" s="47" t="str">
        <f t="shared" si="2"/>
        <v/>
      </c>
      <c r="AL53" s="47" t="str">
        <f t="shared" si="3"/>
        <v/>
      </c>
      <c r="AM53" s="47" t="str">
        <f t="shared" si="4"/>
        <v/>
      </c>
      <c r="AN53" s="47" t="str">
        <f t="shared" si="5"/>
        <v/>
      </c>
      <c r="AO53" s="47" t="str">
        <f t="shared" si="6"/>
        <v/>
      </c>
      <c r="AP53" s="47" t="str">
        <f t="shared" si="7"/>
        <v/>
      </c>
      <c r="AQ53" s="47" t="str">
        <f t="shared" si="8"/>
        <v/>
      </c>
      <c r="AR53" s="47" t="str">
        <f t="shared" si="9"/>
        <v/>
      </c>
      <c r="AS53" s="47" t="str">
        <f>IF($AR53="","",ROUND($AR53*'Client Data'!$M$2,2))</f>
        <v/>
      </c>
      <c r="AT53" s="47" t="str">
        <f t="shared" si="10"/>
        <v/>
      </c>
    </row>
    <row r="54" ht="15.75" customHeight="1">
      <c r="A54" s="40"/>
      <c r="B54" s="41"/>
      <c r="C54" s="41"/>
      <c r="D54" s="41"/>
      <c r="E54" s="41"/>
      <c r="F54" s="40"/>
      <c r="G54" s="41"/>
      <c r="H54" s="41"/>
      <c r="I54" s="40"/>
      <c r="J54" s="42"/>
      <c r="K54" s="41"/>
      <c r="L54" s="41"/>
      <c r="M54" s="41"/>
      <c r="N54" s="42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3"/>
      <c r="AE54" s="43"/>
      <c r="AF54" s="45"/>
      <c r="AG54" s="45"/>
      <c r="AH54" s="43"/>
      <c r="AI54" s="41"/>
      <c r="AJ54" s="46" t="str">
        <f t="shared" si="1"/>
        <v/>
      </c>
      <c r="AK54" s="47" t="str">
        <f t="shared" si="2"/>
        <v/>
      </c>
      <c r="AL54" s="47" t="str">
        <f t="shared" si="3"/>
        <v/>
      </c>
      <c r="AM54" s="47" t="str">
        <f t="shared" si="4"/>
        <v/>
      </c>
      <c r="AN54" s="47" t="str">
        <f t="shared" si="5"/>
        <v/>
      </c>
      <c r="AO54" s="47" t="str">
        <f t="shared" si="6"/>
        <v/>
      </c>
      <c r="AP54" s="47" t="str">
        <f t="shared" si="7"/>
        <v/>
      </c>
      <c r="AQ54" s="47" t="str">
        <f t="shared" si="8"/>
        <v/>
      </c>
      <c r="AR54" s="47" t="str">
        <f t="shared" si="9"/>
        <v/>
      </c>
      <c r="AS54" s="47" t="str">
        <f>IF($AR54="","",ROUND($AR54*'Client Data'!$M$2,2))</f>
        <v/>
      </c>
      <c r="AT54" s="47" t="str">
        <f t="shared" si="10"/>
        <v/>
      </c>
    </row>
    <row r="55" ht="15.75" customHeight="1">
      <c r="A55" s="40"/>
      <c r="B55" s="41"/>
      <c r="C55" s="41"/>
      <c r="D55" s="41"/>
      <c r="E55" s="41"/>
      <c r="F55" s="40"/>
      <c r="G55" s="41"/>
      <c r="H55" s="41"/>
      <c r="I55" s="40"/>
      <c r="J55" s="42"/>
      <c r="K55" s="41"/>
      <c r="L55" s="41"/>
      <c r="M55" s="41"/>
      <c r="N55" s="42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3"/>
      <c r="AE55" s="43"/>
      <c r="AF55" s="45"/>
      <c r="AG55" s="45"/>
      <c r="AH55" s="43"/>
      <c r="AI55" s="41"/>
      <c r="AJ55" s="46" t="str">
        <f t="shared" si="1"/>
        <v/>
      </c>
      <c r="AK55" s="47" t="str">
        <f t="shared" si="2"/>
        <v/>
      </c>
      <c r="AL55" s="47" t="str">
        <f t="shared" si="3"/>
        <v/>
      </c>
      <c r="AM55" s="47" t="str">
        <f t="shared" si="4"/>
        <v/>
      </c>
      <c r="AN55" s="47" t="str">
        <f t="shared" si="5"/>
        <v/>
      </c>
      <c r="AO55" s="47" t="str">
        <f t="shared" si="6"/>
        <v/>
      </c>
      <c r="AP55" s="47" t="str">
        <f t="shared" si="7"/>
        <v/>
      </c>
      <c r="AQ55" s="47" t="str">
        <f t="shared" si="8"/>
        <v/>
      </c>
      <c r="AR55" s="47" t="str">
        <f t="shared" si="9"/>
        <v/>
      </c>
      <c r="AS55" s="47" t="str">
        <f>IF($AR55="","",ROUND($AR55*'Client Data'!$M$2,2))</f>
        <v/>
      </c>
      <c r="AT55" s="47" t="str">
        <f t="shared" si="10"/>
        <v/>
      </c>
    </row>
    <row r="56" ht="15.75" customHeight="1">
      <c r="A56" s="40"/>
      <c r="B56" s="41"/>
      <c r="C56" s="41"/>
      <c r="D56" s="41"/>
      <c r="E56" s="41"/>
      <c r="F56" s="40"/>
      <c r="G56" s="41"/>
      <c r="H56" s="41"/>
      <c r="I56" s="40"/>
      <c r="J56" s="42"/>
      <c r="K56" s="41"/>
      <c r="L56" s="41"/>
      <c r="M56" s="41"/>
      <c r="N56" s="42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3"/>
      <c r="AE56" s="43"/>
      <c r="AF56" s="45"/>
      <c r="AG56" s="45"/>
      <c r="AH56" s="43"/>
      <c r="AI56" s="41"/>
      <c r="AJ56" s="46" t="str">
        <f t="shared" si="1"/>
        <v/>
      </c>
      <c r="AK56" s="47" t="str">
        <f t="shared" si="2"/>
        <v/>
      </c>
      <c r="AL56" s="47" t="str">
        <f t="shared" si="3"/>
        <v/>
      </c>
      <c r="AM56" s="47" t="str">
        <f t="shared" si="4"/>
        <v/>
      </c>
      <c r="AN56" s="47" t="str">
        <f t="shared" si="5"/>
        <v/>
      </c>
      <c r="AO56" s="47" t="str">
        <f t="shared" si="6"/>
        <v/>
      </c>
      <c r="AP56" s="47" t="str">
        <f t="shared" si="7"/>
        <v/>
      </c>
      <c r="AQ56" s="47" t="str">
        <f t="shared" si="8"/>
        <v/>
      </c>
      <c r="AR56" s="47" t="str">
        <f t="shared" si="9"/>
        <v/>
      </c>
      <c r="AS56" s="47" t="str">
        <f>IF($AR56="","",ROUND($AR56*'Client Data'!$M$2,2))</f>
        <v/>
      </c>
      <c r="AT56" s="47" t="str">
        <f t="shared" si="10"/>
        <v/>
      </c>
    </row>
    <row r="57" ht="15.75" customHeight="1">
      <c r="A57" s="40"/>
      <c r="B57" s="41"/>
      <c r="C57" s="41"/>
      <c r="D57" s="41"/>
      <c r="E57" s="41"/>
      <c r="F57" s="40"/>
      <c r="G57" s="41"/>
      <c r="H57" s="41"/>
      <c r="I57" s="40"/>
      <c r="J57" s="42"/>
      <c r="K57" s="41"/>
      <c r="L57" s="41"/>
      <c r="M57" s="41"/>
      <c r="N57" s="42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3"/>
      <c r="AE57" s="43"/>
      <c r="AF57" s="45"/>
      <c r="AG57" s="45"/>
      <c r="AH57" s="43"/>
      <c r="AI57" s="41"/>
      <c r="AJ57" s="46" t="str">
        <f t="shared" si="1"/>
        <v/>
      </c>
      <c r="AK57" s="47" t="str">
        <f t="shared" si="2"/>
        <v/>
      </c>
      <c r="AL57" s="47" t="str">
        <f t="shared" si="3"/>
        <v/>
      </c>
      <c r="AM57" s="47" t="str">
        <f t="shared" si="4"/>
        <v/>
      </c>
      <c r="AN57" s="47" t="str">
        <f t="shared" si="5"/>
        <v/>
      </c>
      <c r="AO57" s="47" t="str">
        <f t="shared" si="6"/>
        <v/>
      </c>
      <c r="AP57" s="47" t="str">
        <f t="shared" si="7"/>
        <v/>
      </c>
      <c r="AQ57" s="47" t="str">
        <f t="shared" si="8"/>
        <v/>
      </c>
      <c r="AR57" s="47" t="str">
        <f t="shared" si="9"/>
        <v/>
      </c>
      <c r="AS57" s="47" t="str">
        <f>IF($AR57="","",ROUND($AR57*'Client Data'!$M$2,2))</f>
        <v/>
      </c>
      <c r="AT57" s="47" t="str">
        <f t="shared" si="10"/>
        <v/>
      </c>
    </row>
    <row r="58" ht="15.75" customHeight="1">
      <c r="A58" s="40"/>
      <c r="B58" s="41"/>
      <c r="C58" s="41"/>
      <c r="D58" s="41"/>
      <c r="E58" s="41"/>
      <c r="F58" s="40"/>
      <c r="G58" s="41"/>
      <c r="H58" s="41"/>
      <c r="I58" s="40"/>
      <c r="J58" s="42"/>
      <c r="K58" s="41"/>
      <c r="L58" s="41"/>
      <c r="M58" s="41"/>
      <c r="N58" s="42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3"/>
      <c r="AE58" s="43"/>
      <c r="AF58" s="45"/>
      <c r="AG58" s="45"/>
      <c r="AH58" s="43"/>
      <c r="AI58" s="41"/>
      <c r="AJ58" s="46" t="str">
        <f t="shared" si="1"/>
        <v/>
      </c>
      <c r="AK58" s="47" t="str">
        <f t="shared" si="2"/>
        <v/>
      </c>
      <c r="AL58" s="47" t="str">
        <f t="shared" si="3"/>
        <v/>
      </c>
      <c r="AM58" s="47" t="str">
        <f t="shared" si="4"/>
        <v/>
      </c>
      <c r="AN58" s="47" t="str">
        <f t="shared" si="5"/>
        <v/>
      </c>
      <c r="AO58" s="47" t="str">
        <f t="shared" si="6"/>
        <v/>
      </c>
      <c r="AP58" s="47" t="str">
        <f t="shared" si="7"/>
        <v/>
      </c>
      <c r="AQ58" s="47" t="str">
        <f t="shared" si="8"/>
        <v/>
      </c>
      <c r="AR58" s="47" t="str">
        <f t="shared" si="9"/>
        <v/>
      </c>
      <c r="AS58" s="47" t="str">
        <f>IF($AR58="","",ROUND($AR58*'Client Data'!$M$2,2))</f>
        <v/>
      </c>
      <c r="AT58" s="47" t="str">
        <f t="shared" si="10"/>
        <v/>
      </c>
    </row>
    <row r="59" ht="15.75" customHeight="1">
      <c r="A59" s="40"/>
      <c r="B59" s="41"/>
      <c r="C59" s="41"/>
      <c r="D59" s="41"/>
      <c r="E59" s="41"/>
      <c r="F59" s="40"/>
      <c r="G59" s="41"/>
      <c r="H59" s="41"/>
      <c r="I59" s="40"/>
      <c r="J59" s="42"/>
      <c r="K59" s="41"/>
      <c r="L59" s="41"/>
      <c r="M59" s="41"/>
      <c r="N59" s="42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3"/>
      <c r="AE59" s="43"/>
      <c r="AF59" s="45"/>
      <c r="AG59" s="45"/>
      <c r="AH59" s="43"/>
      <c r="AI59" s="41"/>
      <c r="AJ59" s="46" t="str">
        <f t="shared" si="1"/>
        <v/>
      </c>
      <c r="AK59" s="47" t="str">
        <f t="shared" si="2"/>
        <v/>
      </c>
      <c r="AL59" s="47" t="str">
        <f t="shared" si="3"/>
        <v/>
      </c>
      <c r="AM59" s="47" t="str">
        <f t="shared" si="4"/>
        <v/>
      </c>
      <c r="AN59" s="47" t="str">
        <f t="shared" si="5"/>
        <v/>
      </c>
      <c r="AO59" s="47" t="str">
        <f t="shared" si="6"/>
        <v/>
      </c>
      <c r="AP59" s="47" t="str">
        <f t="shared" si="7"/>
        <v/>
      </c>
      <c r="AQ59" s="47" t="str">
        <f t="shared" si="8"/>
        <v/>
      </c>
      <c r="AR59" s="47" t="str">
        <f t="shared" si="9"/>
        <v/>
      </c>
      <c r="AS59" s="47" t="str">
        <f>IF($AR59="","",ROUND($AR59*'Client Data'!$M$2,2))</f>
        <v/>
      </c>
      <c r="AT59" s="47" t="str">
        <f t="shared" si="10"/>
        <v/>
      </c>
    </row>
    <row r="60" ht="15.75" customHeight="1">
      <c r="A60" s="40"/>
      <c r="B60" s="41"/>
      <c r="C60" s="41"/>
      <c r="D60" s="41"/>
      <c r="E60" s="41"/>
      <c r="F60" s="40"/>
      <c r="G60" s="41"/>
      <c r="H60" s="41"/>
      <c r="I60" s="40"/>
      <c r="J60" s="42"/>
      <c r="K60" s="41"/>
      <c r="L60" s="41"/>
      <c r="M60" s="41"/>
      <c r="N60" s="42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3"/>
      <c r="AE60" s="43"/>
      <c r="AF60" s="45"/>
      <c r="AG60" s="45"/>
      <c r="AH60" s="43"/>
      <c r="AI60" s="41"/>
      <c r="AJ60" s="46" t="str">
        <f t="shared" si="1"/>
        <v/>
      </c>
      <c r="AK60" s="47" t="str">
        <f t="shared" si="2"/>
        <v/>
      </c>
      <c r="AL60" s="47" t="str">
        <f t="shared" si="3"/>
        <v/>
      </c>
      <c r="AM60" s="47" t="str">
        <f t="shared" si="4"/>
        <v/>
      </c>
      <c r="AN60" s="47" t="str">
        <f t="shared" si="5"/>
        <v/>
      </c>
      <c r="AO60" s="47" t="str">
        <f t="shared" si="6"/>
        <v/>
      </c>
      <c r="AP60" s="47" t="str">
        <f t="shared" si="7"/>
        <v/>
      </c>
      <c r="AQ60" s="47" t="str">
        <f t="shared" si="8"/>
        <v/>
      </c>
      <c r="AR60" s="47" t="str">
        <f t="shared" si="9"/>
        <v/>
      </c>
      <c r="AS60" s="47" t="str">
        <f>IF($AR60="","",ROUND($AR60*'Client Data'!$M$2,2))</f>
        <v/>
      </c>
      <c r="AT60" s="47" t="str">
        <f t="shared" si="10"/>
        <v/>
      </c>
    </row>
    <row r="61" ht="15.75" customHeight="1">
      <c r="A61" s="40"/>
      <c r="B61" s="41"/>
      <c r="C61" s="41"/>
      <c r="D61" s="41"/>
      <c r="E61" s="41"/>
      <c r="F61" s="40"/>
      <c r="G61" s="41"/>
      <c r="H61" s="41"/>
      <c r="I61" s="40"/>
      <c r="J61" s="42"/>
      <c r="K61" s="41"/>
      <c r="L61" s="41"/>
      <c r="M61" s="41"/>
      <c r="N61" s="42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3"/>
      <c r="AE61" s="43"/>
      <c r="AF61" s="45"/>
      <c r="AG61" s="45"/>
      <c r="AH61" s="43"/>
      <c r="AI61" s="41"/>
      <c r="AJ61" s="46" t="str">
        <f t="shared" si="1"/>
        <v/>
      </c>
      <c r="AK61" s="47" t="str">
        <f t="shared" si="2"/>
        <v/>
      </c>
      <c r="AL61" s="47" t="str">
        <f t="shared" si="3"/>
        <v/>
      </c>
      <c r="AM61" s="47" t="str">
        <f t="shared" si="4"/>
        <v/>
      </c>
      <c r="AN61" s="47" t="str">
        <f t="shared" si="5"/>
        <v/>
      </c>
      <c r="AO61" s="47" t="str">
        <f t="shared" si="6"/>
        <v/>
      </c>
      <c r="AP61" s="47" t="str">
        <f t="shared" si="7"/>
        <v/>
      </c>
      <c r="AQ61" s="47" t="str">
        <f t="shared" si="8"/>
        <v/>
      </c>
      <c r="AR61" s="47" t="str">
        <f t="shared" si="9"/>
        <v/>
      </c>
      <c r="AS61" s="47" t="str">
        <f>IF($AR61="","",ROUND($AR61*'Client Data'!$M$2,2))</f>
        <v/>
      </c>
      <c r="AT61" s="47" t="str">
        <f t="shared" si="10"/>
        <v/>
      </c>
    </row>
    <row r="62" ht="15.75" customHeight="1">
      <c r="A62" s="40"/>
      <c r="B62" s="41"/>
      <c r="C62" s="41"/>
      <c r="D62" s="41"/>
      <c r="E62" s="41"/>
      <c r="F62" s="40"/>
      <c r="G62" s="41"/>
      <c r="H62" s="41"/>
      <c r="I62" s="40"/>
      <c r="J62" s="42"/>
      <c r="K62" s="41"/>
      <c r="L62" s="41"/>
      <c r="M62" s="41"/>
      <c r="N62" s="42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3"/>
      <c r="AE62" s="43"/>
      <c r="AF62" s="45"/>
      <c r="AG62" s="45"/>
      <c r="AH62" s="43"/>
      <c r="AI62" s="41"/>
      <c r="AJ62" s="46" t="str">
        <f t="shared" si="1"/>
        <v/>
      </c>
      <c r="AK62" s="47" t="str">
        <f t="shared" si="2"/>
        <v/>
      </c>
      <c r="AL62" s="47" t="str">
        <f t="shared" si="3"/>
        <v/>
      </c>
      <c r="AM62" s="47" t="str">
        <f t="shared" si="4"/>
        <v/>
      </c>
      <c r="AN62" s="47" t="str">
        <f t="shared" si="5"/>
        <v/>
      </c>
      <c r="AO62" s="47" t="str">
        <f t="shared" si="6"/>
        <v/>
      </c>
      <c r="AP62" s="47" t="str">
        <f t="shared" si="7"/>
        <v/>
      </c>
      <c r="AQ62" s="47" t="str">
        <f t="shared" si="8"/>
        <v/>
      </c>
      <c r="AR62" s="47" t="str">
        <f t="shared" si="9"/>
        <v/>
      </c>
      <c r="AS62" s="47" t="str">
        <f>IF($AR62="","",ROUND($AR62*'Client Data'!$M$2,2))</f>
        <v/>
      </c>
      <c r="AT62" s="47" t="str">
        <f t="shared" si="10"/>
        <v/>
      </c>
    </row>
    <row r="63" ht="15.75" customHeight="1">
      <c r="A63" s="40"/>
      <c r="B63" s="41"/>
      <c r="C63" s="41"/>
      <c r="D63" s="41"/>
      <c r="E63" s="41"/>
      <c r="F63" s="40"/>
      <c r="G63" s="41"/>
      <c r="H63" s="41"/>
      <c r="I63" s="40"/>
      <c r="J63" s="42"/>
      <c r="K63" s="41"/>
      <c r="L63" s="41"/>
      <c r="M63" s="41"/>
      <c r="N63" s="42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3"/>
      <c r="AE63" s="43"/>
      <c r="AF63" s="45"/>
      <c r="AG63" s="45"/>
      <c r="AH63" s="43"/>
      <c r="AI63" s="41"/>
      <c r="AJ63" s="46" t="str">
        <f t="shared" si="1"/>
        <v/>
      </c>
      <c r="AK63" s="47" t="str">
        <f t="shared" si="2"/>
        <v/>
      </c>
      <c r="AL63" s="47" t="str">
        <f t="shared" si="3"/>
        <v/>
      </c>
      <c r="AM63" s="47" t="str">
        <f t="shared" si="4"/>
        <v/>
      </c>
      <c r="AN63" s="47" t="str">
        <f t="shared" si="5"/>
        <v/>
      </c>
      <c r="AO63" s="47" t="str">
        <f t="shared" si="6"/>
        <v/>
      </c>
      <c r="AP63" s="47" t="str">
        <f t="shared" si="7"/>
        <v/>
      </c>
      <c r="AQ63" s="47" t="str">
        <f t="shared" si="8"/>
        <v/>
      </c>
      <c r="AR63" s="47" t="str">
        <f t="shared" si="9"/>
        <v/>
      </c>
      <c r="AS63" s="47" t="str">
        <f>IF($AR63="","",ROUND($AR63*'Client Data'!$M$2,2))</f>
        <v/>
      </c>
      <c r="AT63" s="47" t="str">
        <f t="shared" si="10"/>
        <v/>
      </c>
    </row>
    <row r="64" ht="15.75" customHeight="1">
      <c r="A64" s="40"/>
      <c r="B64" s="41"/>
      <c r="C64" s="41"/>
      <c r="D64" s="41"/>
      <c r="E64" s="41"/>
      <c r="F64" s="40"/>
      <c r="G64" s="41"/>
      <c r="H64" s="41"/>
      <c r="I64" s="40"/>
      <c r="J64" s="42"/>
      <c r="K64" s="41"/>
      <c r="L64" s="41"/>
      <c r="M64" s="41"/>
      <c r="N64" s="42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3"/>
      <c r="AE64" s="43"/>
      <c r="AF64" s="45"/>
      <c r="AG64" s="45"/>
      <c r="AH64" s="43"/>
      <c r="AI64" s="41"/>
      <c r="AJ64" s="46" t="str">
        <f t="shared" si="1"/>
        <v/>
      </c>
      <c r="AK64" s="47" t="str">
        <f t="shared" si="2"/>
        <v/>
      </c>
      <c r="AL64" s="47" t="str">
        <f t="shared" si="3"/>
        <v/>
      </c>
      <c r="AM64" s="47" t="str">
        <f t="shared" si="4"/>
        <v/>
      </c>
      <c r="AN64" s="47" t="str">
        <f t="shared" si="5"/>
        <v/>
      </c>
      <c r="AO64" s="47" t="str">
        <f t="shared" si="6"/>
        <v/>
      </c>
      <c r="AP64" s="47" t="str">
        <f t="shared" si="7"/>
        <v/>
      </c>
      <c r="AQ64" s="47" t="str">
        <f t="shared" si="8"/>
        <v/>
      </c>
      <c r="AR64" s="47" t="str">
        <f t="shared" si="9"/>
        <v/>
      </c>
      <c r="AS64" s="47" t="str">
        <f>IF($AR64="","",ROUND($AR64*'Client Data'!$M$2,2))</f>
        <v/>
      </c>
      <c r="AT64" s="47" t="str">
        <f t="shared" si="10"/>
        <v/>
      </c>
    </row>
    <row r="65" ht="15.75" customHeight="1">
      <c r="A65" s="40"/>
      <c r="B65" s="41"/>
      <c r="C65" s="41"/>
      <c r="D65" s="41"/>
      <c r="E65" s="41"/>
      <c r="F65" s="40"/>
      <c r="G65" s="41"/>
      <c r="H65" s="41"/>
      <c r="I65" s="40"/>
      <c r="J65" s="42"/>
      <c r="K65" s="41"/>
      <c r="L65" s="41"/>
      <c r="M65" s="41"/>
      <c r="N65" s="42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3"/>
      <c r="AE65" s="43"/>
      <c r="AF65" s="45"/>
      <c r="AG65" s="45"/>
      <c r="AH65" s="43"/>
      <c r="AI65" s="41"/>
      <c r="AJ65" s="46" t="str">
        <f t="shared" si="1"/>
        <v/>
      </c>
      <c r="AK65" s="47" t="str">
        <f t="shared" si="2"/>
        <v/>
      </c>
      <c r="AL65" s="47" t="str">
        <f t="shared" si="3"/>
        <v/>
      </c>
      <c r="AM65" s="47" t="str">
        <f t="shared" si="4"/>
        <v/>
      </c>
      <c r="AN65" s="47" t="str">
        <f t="shared" si="5"/>
        <v/>
      </c>
      <c r="AO65" s="47" t="str">
        <f t="shared" si="6"/>
        <v/>
      </c>
      <c r="AP65" s="47" t="str">
        <f t="shared" si="7"/>
        <v/>
      </c>
      <c r="AQ65" s="47" t="str">
        <f t="shared" si="8"/>
        <v/>
      </c>
      <c r="AR65" s="47" t="str">
        <f t="shared" si="9"/>
        <v/>
      </c>
      <c r="AS65" s="47" t="str">
        <f>IF($AR65="","",ROUND($AR65*'Client Data'!$M$2,2))</f>
        <v/>
      </c>
      <c r="AT65" s="47" t="str">
        <f t="shared" si="10"/>
        <v/>
      </c>
    </row>
    <row r="66" ht="15.75" customHeight="1">
      <c r="A66" s="40"/>
      <c r="B66" s="41"/>
      <c r="C66" s="41"/>
      <c r="D66" s="41"/>
      <c r="E66" s="41"/>
      <c r="F66" s="40"/>
      <c r="G66" s="41"/>
      <c r="H66" s="41"/>
      <c r="I66" s="40"/>
      <c r="J66" s="42"/>
      <c r="K66" s="41"/>
      <c r="L66" s="41"/>
      <c r="M66" s="41"/>
      <c r="N66" s="42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3"/>
      <c r="AE66" s="43"/>
      <c r="AF66" s="45"/>
      <c r="AG66" s="45"/>
      <c r="AH66" s="43"/>
      <c r="AI66" s="41"/>
      <c r="AJ66" s="46" t="str">
        <f t="shared" si="1"/>
        <v/>
      </c>
      <c r="AK66" s="47" t="str">
        <f t="shared" si="2"/>
        <v/>
      </c>
      <c r="AL66" s="47" t="str">
        <f t="shared" si="3"/>
        <v/>
      </c>
      <c r="AM66" s="47" t="str">
        <f t="shared" si="4"/>
        <v/>
      </c>
      <c r="AN66" s="47" t="str">
        <f t="shared" si="5"/>
        <v/>
      </c>
      <c r="AO66" s="47" t="str">
        <f t="shared" si="6"/>
        <v/>
      </c>
      <c r="AP66" s="47" t="str">
        <f t="shared" si="7"/>
        <v/>
      </c>
      <c r="AQ66" s="47" t="str">
        <f t="shared" si="8"/>
        <v/>
      </c>
      <c r="AR66" s="47" t="str">
        <f t="shared" si="9"/>
        <v/>
      </c>
      <c r="AS66" s="47" t="str">
        <f>IF($AR66="","",ROUND($AR66*'Client Data'!$M$2,2))</f>
        <v/>
      </c>
      <c r="AT66" s="47" t="str">
        <f t="shared" si="10"/>
        <v/>
      </c>
    </row>
    <row r="67" ht="15.75" customHeight="1">
      <c r="A67" s="40"/>
      <c r="B67" s="41"/>
      <c r="C67" s="41"/>
      <c r="D67" s="41"/>
      <c r="E67" s="41"/>
      <c r="F67" s="40"/>
      <c r="G67" s="41"/>
      <c r="H67" s="41"/>
      <c r="I67" s="40"/>
      <c r="J67" s="42"/>
      <c r="K67" s="41"/>
      <c r="L67" s="41"/>
      <c r="M67" s="41"/>
      <c r="N67" s="42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3"/>
      <c r="AE67" s="43"/>
      <c r="AF67" s="45"/>
      <c r="AG67" s="45"/>
      <c r="AH67" s="43"/>
      <c r="AI67" s="41"/>
      <c r="AJ67" s="46" t="str">
        <f t="shared" si="1"/>
        <v/>
      </c>
      <c r="AK67" s="47" t="str">
        <f t="shared" si="2"/>
        <v/>
      </c>
      <c r="AL67" s="47" t="str">
        <f t="shared" si="3"/>
        <v/>
      </c>
      <c r="AM67" s="47" t="str">
        <f t="shared" si="4"/>
        <v/>
      </c>
      <c r="AN67" s="47" t="str">
        <f t="shared" si="5"/>
        <v/>
      </c>
      <c r="AO67" s="47" t="str">
        <f t="shared" si="6"/>
        <v/>
      </c>
      <c r="AP67" s="47" t="str">
        <f t="shared" si="7"/>
        <v/>
      </c>
      <c r="AQ67" s="47" t="str">
        <f t="shared" si="8"/>
        <v/>
      </c>
      <c r="AR67" s="47" t="str">
        <f t="shared" si="9"/>
        <v/>
      </c>
      <c r="AS67" s="47" t="str">
        <f>IF($AR67="","",ROUND($AR67*'Client Data'!$M$2,2))</f>
        <v/>
      </c>
      <c r="AT67" s="47" t="str">
        <f t="shared" si="10"/>
        <v/>
      </c>
    </row>
    <row r="68" ht="15.75" customHeight="1">
      <c r="A68" s="40"/>
      <c r="B68" s="41"/>
      <c r="C68" s="41"/>
      <c r="D68" s="41"/>
      <c r="E68" s="41"/>
      <c r="F68" s="40"/>
      <c r="G68" s="41"/>
      <c r="H68" s="41"/>
      <c r="I68" s="40"/>
      <c r="J68" s="42"/>
      <c r="K68" s="41"/>
      <c r="L68" s="41"/>
      <c r="M68" s="41"/>
      <c r="N68" s="42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3"/>
      <c r="AE68" s="43"/>
      <c r="AF68" s="45"/>
      <c r="AG68" s="45"/>
      <c r="AH68" s="43"/>
      <c r="AI68" s="41"/>
      <c r="AJ68" s="46" t="str">
        <f t="shared" si="1"/>
        <v/>
      </c>
      <c r="AK68" s="47" t="str">
        <f t="shared" si="2"/>
        <v/>
      </c>
      <c r="AL68" s="47" t="str">
        <f t="shared" si="3"/>
        <v/>
      </c>
      <c r="AM68" s="47" t="str">
        <f t="shared" si="4"/>
        <v/>
      </c>
      <c r="AN68" s="47" t="str">
        <f t="shared" si="5"/>
        <v/>
      </c>
      <c r="AO68" s="47" t="str">
        <f t="shared" si="6"/>
        <v/>
      </c>
      <c r="AP68" s="47" t="str">
        <f t="shared" si="7"/>
        <v/>
      </c>
      <c r="AQ68" s="47" t="str">
        <f t="shared" si="8"/>
        <v/>
      </c>
      <c r="AR68" s="47" t="str">
        <f t="shared" si="9"/>
        <v/>
      </c>
      <c r="AS68" s="47" t="str">
        <f>IF($AR68="","",ROUND($AR68*'Client Data'!$M$2,2))</f>
        <v/>
      </c>
      <c r="AT68" s="47" t="str">
        <f t="shared" si="10"/>
        <v/>
      </c>
    </row>
    <row r="69" ht="15.75" customHeight="1">
      <c r="A69" s="40"/>
      <c r="B69" s="41"/>
      <c r="C69" s="41"/>
      <c r="D69" s="41"/>
      <c r="E69" s="41"/>
      <c r="F69" s="40"/>
      <c r="G69" s="41"/>
      <c r="H69" s="41"/>
      <c r="I69" s="40"/>
      <c r="J69" s="42"/>
      <c r="K69" s="41"/>
      <c r="L69" s="41"/>
      <c r="M69" s="41"/>
      <c r="N69" s="42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3"/>
      <c r="AE69" s="43"/>
      <c r="AF69" s="45"/>
      <c r="AG69" s="45"/>
      <c r="AH69" s="43"/>
      <c r="AI69" s="41"/>
      <c r="AJ69" s="46" t="str">
        <f t="shared" si="1"/>
        <v/>
      </c>
      <c r="AK69" s="47" t="str">
        <f t="shared" si="2"/>
        <v/>
      </c>
      <c r="AL69" s="47" t="str">
        <f t="shared" si="3"/>
        <v/>
      </c>
      <c r="AM69" s="47" t="str">
        <f t="shared" si="4"/>
        <v/>
      </c>
      <c r="AN69" s="47" t="str">
        <f t="shared" si="5"/>
        <v/>
      </c>
      <c r="AO69" s="47" t="str">
        <f t="shared" si="6"/>
        <v/>
      </c>
      <c r="AP69" s="47" t="str">
        <f t="shared" si="7"/>
        <v/>
      </c>
      <c r="AQ69" s="47" t="str">
        <f t="shared" si="8"/>
        <v/>
      </c>
      <c r="AR69" s="47" t="str">
        <f t="shared" si="9"/>
        <v/>
      </c>
      <c r="AS69" s="47" t="str">
        <f>IF($AR69="","",ROUND($AR69*'Client Data'!$M$2,2))</f>
        <v/>
      </c>
      <c r="AT69" s="47" t="str">
        <f t="shared" si="10"/>
        <v/>
      </c>
    </row>
    <row r="70" ht="15.75" customHeight="1">
      <c r="A70" s="40"/>
      <c r="B70" s="41"/>
      <c r="C70" s="41"/>
      <c r="D70" s="41"/>
      <c r="E70" s="41"/>
      <c r="F70" s="40"/>
      <c r="G70" s="41"/>
      <c r="H70" s="41"/>
      <c r="I70" s="40"/>
      <c r="J70" s="42"/>
      <c r="K70" s="41"/>
      <c r="L70" s="41"/>
      <c r="M70" s="41"/>
      <c r="N70" s="42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3"/>
      <c r="AE70" s="43"/>
      <c r="AF70" s="45"/>
      <c r="AG70" s="45"/>
      <c r="AH70" s="43"/>
      <c r="AI70" s="41"/>
      <c r="AJ70" s="46" t="str">
        <f t="shared" si="1"/>
        <v/>
      </c>
      <c r="AK70" s="47" t="str">
        <f t="shared" si="2"/>
        <v/>
      </c>
      <c r="AL70" s="47" t="str">
        <f t="shared" si="3"/>
        <v/>
      </c>
      <c r="AM70" s="47" t="str">
        <f t="shared" si="4"/>
        <v/>
      </c>
      <c r="AN70" s="47" t="str">
        <f t="shared" si="5"/>
        <v/>
      </c>
      <c r="AO70" s="47" t="str">
        <f t="shared" si="6"/>
        <v/>
      </c>
      <c r="AP70" s="47" t="str">
        <f t="shared" si="7"/>
        <v/>
      </c>
      <c r="AQ70" s="47" t="str">
        <f t="shared" si="8"/>
        <v/>
      </c>
      <c r="AR70" s="47" t="str">
        <f t="shared" si="9"/>
        <v/>
      </c>
      <c r="AS70" s="47" t="str">
        <f>IF($AR70="","",ROUND($AR70*'Client Data'!$M$2,2))</f>
        <v/>
      </c>
      <c r="AT70" s="47" t="str">
        <f t="shared" si="10"/>
        <v/>
      </c>
    </row>
    <row r="71" ht="15.75" customHeight="1">
      <c r="A71" s="40"/>
      <c r="B71" s="41"/>
      <c r="C71" s="41"/>
      <c r="D71" s="41"/>
      <c r="E71" s="41"/>
      <c r="F71" s="40"/>
      <c r="G71" s="41"/>
      <c r="H71" s="41"/>
      <c r="I71" s="40"/>
      <c r="J71" s="42"/>
      <c r="K71" s="41"/>
      <c r="L71" s="41"/>
      <c r="M71" s="41"/>
      <c r="N71" s="42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3"/>
      <c r="AE71" s="43"/>
      <c r="AF71" s="45"/>
      <c r="AG71" s="45"/>
      <c r="AH71" s="43"/>
      <c r="AI71" s="41"/>
      <c r="AJ71" s="46" t="str">
        <f t="shared" si="1"/>
        <v/>
      </c>
      <c r="AK71" s="47" t="str">
        <f t="shared" si="2"/>
        <v/>
      </c>
      <c r="AL71" s="47" t="str">
        <f t="shared" si="3"/>
        <v/>
      </c>
      <c r="AM71" s="47" t="str">
        <f t="shared" si="4"/>
        <v/>
      </c>
      <c r="AN71" s="47" t="str">
        <f t="shared" si="5"/>
        <v/>
      </c>
      <c r="AO71" s="47" t="str">
        <f t="shared" si="6"/>
        <v/>
      </c>
      <c r="AP71" s="47" t="str">
        <f t="shared" si="7"/>
        <v/>
      </c>
      <c r="AQ71" s="47" t="str">
        <f t="shared" si="8"/>
        <v/>
      </c>
      <c r="AR71" s="47" t="str">
        <f t="shared" si="9"/>
        <v/>
      </c>
      <c r="AS71" s="47" t="str">
        <f>IF($AR71="","",ROUND($AR71*'Client Data'!$M$2,2))</f>
        <v/>
      </c>
      <c r="AT71" s="47" t="str">
        <f t="shared" si="10"/>
        <v/>
      </c>
    </row>
    <row r="72" ht="15.75" customHeight="1">
      <c r="A72" s="40"/>
      <c r="B72" s="41"/>
      <c r="C72" s="41"/>
      <c r="D72" s="41"/>
      <c r="E72" s="41"/>
      <c r="F72" s="40"/>
      <c r="G72" s="41"/>
      <c r="H72" s="41"/>
      <c r="I72" s="40"/>
      <c r="J72" s="42"/>
      <c r="K72" s="41"/>
      <c r="L72" s="41"/>
      <c r="M72" s="41"/>
      <c r="N72" s="42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3"/>
      <c r="AE72" s="43"/>
      <c r="AF72" s="45"/>
      <c r="AG72" s="45"/>
      <c r="AH72" s="43"/>
      <c r="AI72" s="41"/>
      <c r="AJ72" s="46" t="str">
        <f t="shared" si="1"/>
        <v/>
      </c>
      <c r="AK72" s="47" t="str">
        <f t="shared" si="2"/>
        <v/>
      </c>
      <c r="AL72" s="47" t="str">
        <f t="shared" si="3"/>
        <v/>
      </c>
      <c r="AM72" s="47" t="str">
        <f t="shared" si="4"/>
        <v/>
      </c>
      <c r="AN72" s="47" t="str">
        <f t="shared" si="5"/>
        <v/>
      </c>
      <c r="AO72" s="47" t="str">
        <f t="shared" si="6"/>
        <v/>
      </c>
      <c r="AP72" s="47" t="str">
        <f t="shared" si="7"/>
        <v/>
      </c>
      <c r="AQ72" s="47" t="str">
        <f t="shared" si="8"/>
        <v/>
      </c>
      <c r="AR72" s="47" t="str">
        <f t="shared" si="9"/>
        <v/>
      </c>
      <c r="AS72" s="47" t="str">
        <f>IF($AR72="","",ROUND($AR72*'Client Data'!$M$2,2))</f>
        <v/>
      </c>
      <c r="AT72" s="47" t="str">
        <f t="shared" si="10"/>
        <v/>
      </c>
    </row>
    <row r="73" ht="15.75" customHeight="1">
      <c r="A73" s="40"/>
      <c r="B73" s="41"/>
      <c r="C73" s="41"/>
      <c r="D73" s="41"/>
      <c r="E73" s="41"/>
      <c r="F73" s="40"/>
      <c r="G73" s="41"/>
      <c r="H73" s="41"/>
      <c r="I73" s="40"/>
      <c r="J73" s="42"/>
      <c r="K73" s="41"/>
      <c r="L73" s="41"/>
      <c r="M73" s="41"/>
      <c r="N73" s="42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3"/>
      <c r="AE73" s="43"/>
      <c r="AF73" s="45"/>
      <c r="AG73" s="45"/>
      <c r="AH73" s="43"/>
      <c r="AI73" s="41"/>
      <c r="AJ73" s="46" t="str">
        <f t="shared" si="1"/>
        <v/>
      </c>
      <c r="AK73" s="47" t="str">
        <f t="shared" si="2"/>
        <v/>
      </c>
      <c r="AL73" s="47" t="str">
        <f t="shared" si="3"/>
        <v/>
      </c>
      <c r="AM73" s="47" t="str">
        <f t="shared" si="4"/>
        <v/>
      </c>
      <c r="AN73" s="47" t="str">
        <f t="shared" si="5"/>
        <v/>
      </c>
      <c r="AO73" s="47" t="str">
        <f t="shared" si="6"/>
        <v/>
      </c>
      <c r="AP73" s="47" t="str">
        <f t="shared" si="7"/>
        <v/>
      </c>
      <c r="AQ73" s="47" t="str">
        <f t="shared" si="8"/>
        <v/>
      </c>
      <c r="AR73" s="47" t="str">
        <f t="shared" si="9"/>
        <v/>
      </c>
      <c r="AS73" s="47" t="str">
        <f>IF($AR73="","",ROUND($AR73*'Client Data'!$M$2,2))</f>
        <v/>
      </c>
      <c r="AT73" s="47" t="str">
        <f t="shared" si="10"/>
        <v/>
      </c>
    </row>
    <row r="74" ht="15.75" customHeight="1">
      <c r="A74" s="40"/>
      <c r="B74" s="41"/>
      <c r="C74" s="41"/>
      <c r="D74" s="41"/>
      <c r="E74" s="41"/>
      <c r="F74" s="40"/>
      <c r="G74" s="41"/>
      <c r="H74" s="41"/>
      <c r="I74" s="40"/>
      <c r="J74" s="42"/>
      <c r="K74" s="41"/>
      <c r="L74" s="41"/>
      <c r="M74" s="41"/>
      <c r="N74" s="42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3"/>
      <c r="AE74" s="43"/>
      <c r="AF74" s="45"/>
      <c r="AG74" s="45"/>
      <c r="AH74" s="43"/>
      <c r="AI74" s="41"/>
      <c r="AJ74" s="46" t="str">
        <f t="shared" si="1"/>
        <v/>
      </c>
      <c r="AK74" s="47" t="str">
        <f t="shared" si="2"/>
        <v/>
      </c>
      <c r="AL74" s="47" t="str">
        <f t="shared" si="3"/>
        <v/>
      </c>
      <c r="AM74" s="47" t="str">
        <f t="shared" si="4"/>
        <v/>
      </c>
      <c r="AN74" s="47" t="str">
        <f t="shared" si="5"/>
        <v/>
      </c>
      <c r="AO74" s="47" t="str">
        <f t="shared" si="6"/>
        <v/>
      </c>
      <c r="AP74" s="47" t="str">
        <f t="shared" si="7"/>
        <v/>
      </c>
      <c r="AQ74" s="47" t="str">
        <f t="shared" si="8"/>
        <v/>
      </c>
      <c r="AR74" s="47" t="str">
        <f t="shared" si="9"/>
        <v/>
      </c>
      <c r="AS74" s="47" t="str">
        <f>IF($AR74="","",ROUND($AR74*'Client Data'!$M$2,2))</f>
        <v/>
      </c>
      <c r="AT74" s="47" t="str">
        <f t="shared" si="10"/>
        <v/>
      </c>
    </row>
    <row r="75" ht="15.75" customHeight="1">
      <c r="A75" s="40"/>
      <c r="B75" s="41"/>
      <c r="C75" s="41"/>
      <c r="D75" s="41"/>
      <c r="E75" s="41"/>
      <c r="F75" s="40"/>
      <c r="G75" s="41"/>
      <c r="H75" s="41"/>
      <c r="I75" s="40"/>
      <c r="J75" s="42"/>
      <c r="K75" s="41"/>
      <c r="L75" s="41"/>
      <c r="M75" s="41"/>
      <c r="N75" s="42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3"/>
      <c r="AE75" s="43"/>
      <c r="AF75" s="45"/>
      <c r="AG75" s="45"/>
      <c r="AH75" s="43"/>
      <c r="AI75" s="41"/>
      <c r="AJ75" s="46" t="str">
        <f t="shared" si="1"/>
        <v/>
      </c>
      <c r="AK75" s="47" t="str">
        <f t="shared" si="2"/>
        <v/>
      </c>
      <c r="AL75" s="47" t="str">
        <f t="shared" si="3"/>
        <v/>
      </c>
      <c r="AM75" s="47" t="str">
        <f t="shared" si="4"/>
        <v/>
      </c>
      <c r="AN75" s="47" t="str">
        <f t="shared" si="5"/>
        <v/>
      </c>
      <c r="AO75" s="47" t="str">
        <f t="shared" si="6"/>
        <v/>
      </c>
      <c r="AP75" s="47" t="str">
        <f t="shared" si="7"/>
        <v/>
      </c>
      <c r="AQ75" s="47" t="str">
        <f t="shared" si="8"/>
        <v/>
      </c>
      <c r="AR75" s="47" t="str">
        <f t="shared" si="9"/>
        <v/>
      </c>
      <c r="AS75" s="47" t="str">
        <f>IF($AR75="","",ROUND($AR75*'Client Data'!$M$2,2))</f>
        <v/>
      </c>
      <c r="AT75" s="47" t="str">
        <f t="shared" si="10"/>
        <v/>
      </c>
    </row>
    <row r="76" ht="15.75" customHeight="1">
      <c r="A76" s="40"/>
      <c r="B76" s="41"/>
      <c r="C76" s="41"/>
      <c r="D76" s="41"/>
      <c r="E76" s="41"/>
      <c r="F76" s="40"/>
      <c r="G76" s="41"/>
      <c r="H76" s="41"/>
      <c r="I76" s="40"/>
      <c r="J76" s="42"/>
      <c r="K76" s="41"/>
      <c r="L76" s="41"/>
      <c r="M76" s="41"/>
      <c r="N76" s="42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3"/>
      <c r="AE76" s="43"/>
      <c r="AF76" s="45"/>
      <c r="AG76" s="45"/>
      <c r="AH76" s="43"/>
      <c r="AI76" s="41"/>
      <c r="AJ76" s="46" t="str">
        <f t="shared" si="1"/>
        <v/>
      </c>
      <c r="AK76" s="47" t="str">
        <f t="shared" si="2"/>
        <v/>
      </c>
      <c r="AL76" s="47" t="str">
        <f t="shared" si="3"/>
        <v/>
      </c>
      <c r="AM76" s="47" t="str">
        <f t="shared" si="4"/>
        <v/>
      </c>
      <c r="AN76" s="47" t="str">
        <f t="shared" si="5"/>
        <v/>
      </c>
      <c r="AO76" s="47" t="str">
        <f t="shared" si="6"/>
        <v/>
      </c>
      <c r="AP76" s="47" t="str">
        <f t="shared" si="7"/>
        <v/>
      </c>
      <c r="AQ76" s="47" t="str">
        <f t="shared" si="8"/>
        <v/>
      </c>
      <c r="AR76" s="47" t="str">
        <f t="shared" si="9"/>
        <v/>
      </c>
      <c r="AS76" s="47" t="str">
        <f>IF($AR76="","",ROUND($AR76*'Client Data'!$M$2,2))</f>
        <v/>
      </c>
      <c r="AT76" s="47" t="str">
        <f t="shared" si="10"/>
        <v/>
      </c>
    </row>
    <row r="77" ht="15.75" customHeight="1">
      <c r="A77" s="40"/>
      <c r="B77" s="41"/>
      <c r="C77" s="41"/>
      <c r="D77" s="41"/>
      <c r="E77" s="41"/>
      <c r="F77" s="40"/>
      <c r="G77" s="41"/>
      <c r="H77" s="41"/>
      <c r="I77" s="40"/>
      <c r="J77" s="42"/>
      <c r="K77" s="41"/>
      <c r="L77" s="41"/>
      <c r="M77" s="41"/>
      <c r="N77" s="42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3"/>
      <c r="AE77" s="43"/>
      <c r="AF77" s="45"/>
      <c r="AG77" s="45"/>
      <c r="AH77" s="43"/>
      <c r="AI77" s="41"/>
      <c r="AJ77" s="46" t="str">
        <f t="shared" si="1"/>
        <v/>
      </c>
      <c r="AK77" s="47" t="str">
        <f t="shared" si="2"/>
        <v/>
      </c>
      <c r="AL77" s="47" t="str">
        <f t="shared" si="3"/>
        <v/>
      </c>
      <c r="AM77" s="47" t="str">
        <f t="shared" si="4"/>
        <v/>
      </c>
      <c r="AN77" s="47" t="str">
        <f t="shared" si="5"/>
        <v/>
      </c>
      <c r="AO77" s="47" t="str">
        <f t="shared" si="6"/>
        <v/>
      </c>
      <c r="AP77" s="47" t="str">
        <f t="shared" si="7"/>
        <v/>
      </c>
      <c r="AQ77" s="47" t="str">
        <f t="shared" si="8"/>
        <v/>
      </c>
      <c r="AR77" s="47" t="str">
        <f t="shared" si="9"/>
        <v/>
      </c>
      <c r="AS77" s="47" t="str">
        <f>IF($AR77="","",ROUND($AR77*'Client Data'!$M$2,2))</f>
        <v/>
      </c>
      <c r="AT77" s="47" t="str">
        <f t="shared" si="10"/>
        <v/>
      </c>
    </row>
    <row r="78" ht="15.75" customHeight="1">
      <c r="A78" s="40"/>
      <c r="B78" s="41"/>
      <c r="C78" s="41"/>
      <c r="D78" s="41"/>
      <c r="E78" s="41"/>
      <c r="F78" s="40"/>
      <c r="G78" s="41"/>
      <c r="H78" s="41"/>
      <c r="I78" s="40"/>
      <c r="J78" s="42"/>
      <c r="K78" s="41"/>
      <c r="L78" s="41"/>
      <c r="M78" s="41"/>
      <c r="N78" s="42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3"/>
      <c r="AE78" s="43"/>
      <c r="AF78" s="45"/>
      <c r="AG78" s="45"/>
      <c r="AH78" s="43"/>
      <c r="AI78" s="41"/>
      <c r="AJ78" s="46" t="str">
        <f t="shared" si="1"/>
        <v/>
      </c>
      <c r="AK78" s="47" t="str">
        <f t="shared" si="2"/>
        <v/>
      </c>
      <c r="AL78" s="47" t="str">
        <f t="shared" si="3"/>
        <v/>
      </c>
      <c r="AM78" s="47" t="str">
        <f t="shared" si="4"/>
        <v/>
      </c>
      <c r="AN78" s="47" t="str">
        <f t="shared" si="5"/>
        <v/>
      </c>
      <c r="AO78" s="47" t="str">
        <f t="shared" si="6"/>
        <v/>
      </c>
      <c r="AP78" s="47" t="str">
        <f t="shared" si="7"/>
        <v/>
      </c>
      <c r="AQ78" s="47" t="str">
        <f t="shared" si="8"/>
        <v/>
      </c>
      <c r="AR78" s="47" t="str">
        <f t="shared" si="9"/>
        <v/>
      </c>
      <c r="AS78" s="47" t="str">
        <f>IF($AR78="","",ROUND($AR78*'Client Data'!$M$2,2))</f>
        <v/>
      </c>
      <c r="AT78" s="47" t="str">
        <f t="shared" si="10"/>
        <v/>
      </c>
    </row>
    <row r="79" ht="15.75" customHeight="1">
      <c r="A79" s="40"/>
      <c r="B79" s="41"/>
      <c r="C79" s="41"/>
      <c r="D79" s="41"/>
      <c r="E79" s="41"/>
      <c r="F79" s="40"/>
      <c r="G79" s="41"/>
      <c r="H79" s="41"/>
      <c r="I79" s="40"/>
      <c r="J79" s="42"/>
      <c r="K79" s="41"/>
      <c r="L79" s="41"/>
      <c r="M79" s="41"/>
      <c r="N79" s="42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3"/>
      <c r="AE79" s="43"/>
      <c r="AF79" s="45"/>
      <c r="AG79" s="45"/>
      <c r="AH79" s="43"/>
      <c r="AI79" s="41"/>
      <c r="AJ79" s="46" t="str">
        <f t="shared" si="1"/>
        <v/>
      </c>
      <c r="AK79" s="47" t="str">
        <f t="shared" si="2"/>
        <v/>
      </c>
      <c r="AL79" s="47" t="str">
        <f t="shared" si="3"/>
        <v/>
      </c>
      <c r="AM79" s="47" t="str">
        <f t="shared" si="4"/>
        <v/>
      </c>
      <c r="AN79" s="47" t="str">
        <f t="shared" si="5"/>
        <v/>
      </c>
      <c r="AO79" s="47" t="str">
        <f t="shared" si="6"/>
        <v/>
      </c>
      <c r="AP79" s="47" t="str">
        <f t="shared" si="7"/>
        <v/>
      </c>
      <c r="AQ79" s="47" t="str">
        <f t="shared" si="8"/>
        <v/>
      </c>
      <c r="AR79" s="47" t="str">
        <f t="shared" si="9"/>
        <v/>
      </c>
      <c r="AS79" s="47" t="str">
        <f>IF($AR79="","",ROUND($AR79*'Client Data'!$M$2,2))</f>
        <v/>
      </c>
      <c r="AT79" s="47" t="str">
        <f t="shared" si="10"/>
        <v/>
      </c>
    </row>
    <row r="80" ht="15.75" customHeight="1">
      <c r="A80" s="40"/>
      <c r="B80" s="41"/>
      <c r="C80" s="41"/>
      <c r="D80" s="41"/>
      <c r="E80" s="41"/>
      <c r="F80" s="40"/>
      <c r="G80" s="41"/>
      <c r="H80" s="41"/>
      <c r="I80" s="40"/>
      <c r="J80" s="42"/>
      <c r="K80" s="41"/>
      <c r="L80" s="41"/>
      <c r="M80" s="41"/>
      <c r="N80" s="42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3"/>
      <c r="AE80" s="43"/>
      <c r="AF80" s="45"/>
      <c r="AG80" s="45"/>
      <c r="AH80" s="43"/>
      <c r="AI80" s="41"/>
      <c r="AJ80" s="46" t="str">
        <f t="shared" si="1"/>
        <v/>
      </c>
      <c r="AK80" s="47" t="str">
        <f t="shared" si="2"/>
        <v/>
      </c>
      <c r="AL80" s="47" t="str">
        <f t="shared" si="3"/>
        <v/>
      </c>
      <c r="AM80" s="47" t="str">
        <f t="shared" si="4"/>
        <v/>
      </c>
      <c r="AN80" s="47" t="str">
        <f t="shared" si="5"/>
        <v/>
      </c>
      <c r="AO80" s="47" t="str">
        <f t="shared" si="6"/>
        <v/>
      </c>
      <c r="AP80" s="47" t="str">
        <f t="shared" si="7"/>
        <v/>
      </c>
      <c r="AQ80" s="47" t="str">
        <f t="shared" si="8"/>
        <v/>
      </c>
      <c r="AR80" s="47" t="str">
        <f t="shared" si="9"/>
        <v/>
      </c>
      <c r="AS80" s="47" t="str">
        <f>IF($AR80="","",ROUND($AR80*'Client Data'!$M$2,2))</f>
        <v/>
      </c>
      <c r="AT80" s="47" t="str">
        <f t="shared" si="10"/>
        <v/>
      </c>
    </row>
    <row r="81" ht="15.75" customHeight="1">
      <c r="A81" s="40"/>
      <c r="B81" s="41"/>
      <c r="C81" s="41"/>
      <c r="D81" s="41"/>
      <c r="E81" s="41"/>
      <c r="F81" s="40"/>
      <c r="G81" s="41"/>
      <c r="H81" s="41"/>
      <c r="I81" s="40"/>
      <c r="J81" s="42"/>
      <c r="K81" s="41"/>
      <c r="L81" s="41"/>
      <c r="M81" s="41"/>
      <c r="N81" s="42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3"/>
      <c r="AE81" s="43"/>
      <c r="AF81" s="45"/>
      <c r="AG81" s="45"/>
      <c r="AH81" s="43"/>
      <c r="AI81" s="41"/>
      <c r="AJ81" s="46" t="str">
        <f t="shared" si="1"/>
        <v/>
      </c>
      <c r="AK81" s="47" t="str">
        <f t="shared" si="2"/>
        <v/>
      </c>
      <c r="AL81" s="47" t="str">
        <f t="shared" si="3"/>
        <v/>
      </c>
      <c r="AM81" s="47" t="str">
        <f t="shared" si="4"/>
        <v/>
      </c>
      <c r="AN81" s="47" t="str">
        <f t="shared" si="5"/>
        <v/>
      </c>
      <c r="AO81" s="47" t="str">
        <f t="shared" si="6"/>
        <v/>
      </c>
      <c r="AP81" s="47" t="str">
        <f t="shared" si="7"/>
        <v/>
      </c>
      <c r="AQ81" s="47" t="str">
        <f t="shared" si="8"/>
        <v/>
      </c>
      <c r="AR81" s="47" t="str">
        <f t="shared" si="9"/>
        <v/>
      </c>
      <c r="AS81" s="47" t="str">
        <f>IF($AR81="","",ROUND($AR81*'Client Data'!$M$2,2))</f>
        <v/>
      </c>
      <c r="AT81" s="47" t="str">
        <f t="shared" si="10"/>
        <v/>
      </c>
    </row>
    <row r="82" ht="15.75" customHeight="1">
      <c r="A82" s="40"/>
      <c r="B82" s="41"/>
      <c r="C82" s="41"/>
      <c r="D82" s="41"/>
      <c r="E82" s="41"/>
      <c r="F82" s="40"/>
      <c r="G82" s="41"/>
      <c r="H82" s="41"/>
      <c r="I82" s="40"/>
      <c r="J82" s="42"/>
      <c r="K82" s="41"/>
      <c r="L82" s="41"/>
      <c r="M82" s="41"/>
      <c r="N82" s="42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3"/>
      <c r="AE82" s="43"/>
      <c r="AF82" s="45"/>
      <c r="AG82" s="45"/>
      <c r="AH82" s="43"/>
      <c r="AI82" s="41"/>
      <c r="AJ82" s="46" t="str">
        <f t="shared" si="1"/>
        <v/>
      </c>
      <c r="AK82" s="47" t="str">
        <f t="shared" si="2"/>
        <v/>
      </c>
      <c r="AL82" s="47" t="str">
        <f t="shared" si="3"/>
        <v/>
      </c>
      <c r="AM82" s="47" t="str">
        <f t="shared" si="4"/>
        <v/>
      </c>
      <c r="AN82" s="47" t="str">
        <f t="shared" si="5"/>
        <v/>
      </c>
      <c r="AO82" s="47" t="str">
        <f t="shared" si="6"/>
        <v/>
      </c>
      <c r="AP82" s="47" t="str">
        <f t="shared" si="7"/>
        <v/>
      </c>
      <c r="AQ82" s="47" t="str">
        <f t="shared" si="8"/>
        <v/>
      </c>
      <c r="AR82" s="47" t="str">
        <f t="shared" si="9"/>
        <v/>
      </c>
      <c r="AS82" s="47" t="str">
        <f>IF($AR82="","",ROUND($AR82*'Client Data'!$M$2,2))</f>
        <v/>
      </c>
      <c r="AT82" s="47" t="str">
        <f t="shared" si="10"/>
        <v/>
      </c>
    </row>
    <row r="83" ht="15.75" customHeight="1">
      <c r="A83" s="40"/>
      <c r="B83" s="41"/>
      <c r="C83" s="41"/>
      <c r="D83" s="41"/>
      <c r="E83" s="41"/>
      <c r="F83" s="40"/>
      <c r="G83" s="41"/>
      <c r="H83" s="41"/>
      <c r="I83" s="40"/>
      <c r="J83" s="42"/>
      <c r="K83" s="41"/>
      <c r="L83" s="41"/>
      <c r="M83" s="41"/>
      <c r="N83" s="42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3"/>
      <c r="AE83" s="43"/>
      <c r="AF83" s="45"/>
      <c r="AG83" s="45"/>
      <c r="AH83" s="43"/>
      <c r="AI83" s="41"/>
      <c r="AJ83" s="46" t="str">
        <f t="shared" si="1"/>
        <v/>
      </c>
      <c r="AK83" s="47" t="str">
        <f t="shared" si="2"/>
        <v/>
      </c>
      <c r="AL83" s="47" t="str">
        <f t="shared" si="3"/>
        <v/>
      </c>
      <c r="AM83" s="47" t="str">
        <f t="shared" si="4"/>
        <v/>
      </c>
      <c r="AN83" s="47" t="str">
        <f t="shared" si="5"/>
        <v/>
      </c>
      <c r="AO83" s="47" t="str">
        <f t="shared" si="6"/>
        <v/>
      </c>
      <c r="AP83" s="47" t="str">
        <f t="shared" si="7"/>
        <v/>
      </c>
      <c r="AQ83" s="47" t="str">
        <f t="shared" si="8"/>
        <v/>
      </c>
      <c r="AR83" s="47" t="str">
        <f t="shared" si="9"/>
        <v/>
      </c>
      <c r="AS83" s="47" t="str">
        <f>IF($AR83="","",ROUND($AR83*'Client Data'!$M$2,2))</f>
        <v/>
      </c>
      <c r="AT83" s="47" t="str">
        <f t="shared" si="10"/>
        <v/>
      </c>
    </row>
    <row r="84" ht="15.75" customHeight="1">
      <c r="A84" s="40"/>
      <c r="B84" s="41"/>
      <c r="C84" s="41"/>
      <c r="D84" s="41"/>
      <c r="E84" s="41"/>
      <c r="F84" s="40"/>
      <c r="G84" s="41"/>
      <c r="H84" s="41"/>
      <c r="I84" s="40"/>
      <c r="J84" s="42"/>
      <c r="K84" s="41"/>
      <c r="L84" s="41"/>
      <c r="M84" s="41"/>
      <c r="N84" s="42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3"/>
      <c r="AE84" s="43"/>
      <c r="AF84" s="45"/>
      <c r="AG84" s="45"/>
      <c r="AH84" s="43"/>
      <c r="AI84" s="41"/>
      <c r="AJ84" s="46" t="str">
        <f t="shared" si="1"/>
        <v/>
      </c>
      <c r="AK84" s="47" t="str">
        <f t="shared" si="2"/>
        <v/>
      </c>
      <c r="AL84" s="47" t="str">
        <f t="shared" si="3"/>
        <v/>
      </c>
      <c r="AM84" s="47" t="str">
        <f t="shared" si="4"/>
        <v/>
      </c>
      <c r="AN84" s="47" t="str">
        <f t="shared" si="5"/>
        <v/>
      </c>
      <c r="AO84" s="47" t="str">
        <f t="shared" si="6"/>
        <v/>
      </c>
      <c r="AP84" s="47" t="str">
        <f t="shared" si="7"/>
        <v/>
      </c>
      <c r="AQ84" s="47" t="str">
        <f t="shared" si="8"/>
        <v/>
      </c>
      <c r="AR84" s="47" t="str">
        <f t="shared" si="9"/>
        <v/>
      </c>
      <c r="AS84" s="47" t="str">
        <f>IF($AR84="","",ROUND($AR84*'Client Data'!$M$2,2))</f>
        <v/>
      </c>
      <c r="AT84" s="47" t="str">
        <f t="shared" si="10"/>
        <v/>
      </c>
    </row>
    <row r="85" ht="15.75" customHeight="1">
      <c r="A85" s="40"/>
      <c r="B85" s="41"/>
      <c r="C85" s="41"/>
      <c r="D85" s="41"/>
      <c r="E85" s="41"/>
      <c r="F85" s="40"/>
      <c r="G85" s="41"/>
      <c r="H85" s="41"/>
      <c r="I85" s="40"/>
      <c r="J85" s="42"/>
      <c r="K85" s="41"/>
      <c r="L85" s="41"/>
      <c r="M85" s="41"/>
      <c r="N85" s="42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3"/>
      <c r="AE85" s="43"/>
      <c r="AF85" s="45"/>
      <c r="AG85" s="45"/>
      <c r="AH85" s="43"/>
      <c r="AI85" s="41"/>
      <c r="AJ85" s="46" t="str">
        <f t="shared" si="1"/>
        <v/>
      </c>
      <c r="AK85" s="47" t="str">
        <f t="shared" si="2"/>
        <v/>
      </c>
      <c r="AL85" s="47" t="str">
        <f t="shared" si="3"/>
        <v/>
      </c>
      <c r="AM85" s="47" t="str">
        <f t="shared" si="4"/>
        <v/>
      </c>
      <c r="AN85" s="47" t="str">
        <f t="shared" si="5"/>
        <v/>
      </c>
      <c r="AO85" s="47" t="str">
        <f t="shared" si="6"/>
        <v/>
      </c>
      <c r="AP85" s="47" t="str">
        <f t="shared" si="7"/>
        <v/>
      </c>
      <c r="AQ85" s="47" t="str">
        <f t="shared" si="8"/>
        <v/>
      </c>
      <c r="AR85" s="47" t="str">
        <f t="shared" si="9"/>
        <v/>
      </c>
      <c r="AS85" s="47" t="str">
        <f>IF($AR85="","",ROUND($AR85*'Client Data'!$M$2,2))</f>
        <v/>
      </c>
      <c r="AT85" s="47" t="str">
        <f t="shared" si="10"/>
        <v/>
      </c>
    </row>
    <row r="86" ht="15.75" customHeight="1">
      <c r="A86" s="40"/>
      <c r="B86" s="41"/>
      <c r="C86" s="41"/>
      <c r="D86" s="41"/>
      <c r="E86" s="41"/>
      <c r="F86" s="40"/>
      <c r="G86" s="41"/>
      <c r="H86" s="41"/>
      <c r="I86" s="40"/>
      <c r="J86" s="42"/>
      <c r="K86" s="41"/>
      <c r="L86" s="41"/>
      <c r="M86" s="41"/>
      <c r="N86" s="42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3"/>
      <c r="AE86" s="43"/>
      <c r="AF86" s="45"/>
      <c r="AG86" s="45"/>
      <c r="AH86" s="43"/>
      <c r="AI86" s="41"/>
      <c r="AJ86" s="46" t="str">
        <f t="shared" si="1"/>
        <v/>
      </c>
      <c r="AK86" s="47" t="str">
        <f t="shared" si="2"/>
        <v/>
      </c>
      <c r="AL86" s="47" t="str">
        <f t="shared" si="3"/>
        <v/>
      </c>
      <c r="AM86" s="47" t="str">
        <f t="shared" si="4"/>
        <v/>
      </c>
      <c r="AN86" s="47" t="str">
        <f t="shared" si="5"/>
        <v/>
      </c>
      <c r="AO86" s="47" t="str">
        <f t="shared" si="6"/>
        <v/>
      </c>
      <c r="AP86" s="47" t="str">
        <f t="shared" si="7"/>
        <v/>
      </c>
      <c r="AQ86" s="47" t="str">
        <f t="shared" si="8"/>
        <v/>
      </c>
      <c r="AR86" s="47" t="str">
        <f t="shared" si="9"/>
        <v/>
      </c>
      <c r="AS86" s="47" t="str">
        <f>IF($AR86="","",ROUND($AR86*'Client Data'!$M$2,2))</f>
        <v/>
      </c>
      <c r="AT86" s="47" t="str">
        <f t="shared" si="10"/>
        <v/>
      </c>
    </row>
    <row r="87" ht="15.75" customHeight="1">
      <c r="A87" s="40"/>
      <c r="B87" s="41"/>
      <c r="C87" s="41"/>
      <c r="D87" s="41"/>
      <c r="E87" s="41"/>
      <c r="F87" s="40"/>
      <c r="G87" s="41"/>
      <c r="H87" s="41"/>
      <c r="I87" s="40"/>
      <c r="J87" s="42"/>
      <c r="K87" s="41"/>
      <c r="L87" s="41"/>
      <c r="M87" s="41"/>
      <c r="N87" s="42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3"/>
      <c r="AE87" s="43"/>
      <c r="AF87" s="45"/>
      <c r="AG87" s="45"/>
      <c r="AH87" s="43"/>
      <c r="AI87" s="41"/>
      <c r="AJ87" s="46" t="str">
        <f t="shared" si="1"/>
        <v/>
      </c>
      <c r="AK87" s="47" t="str">
        <f t="shared" si="2"/>
        <v/>
      </c>
      <c r="AL87" s="47" t="str">
        <f t="shared" si="3"/>
        <v/>
      </c>
      <c r="AM87" s="47" t="str">
        <f t="shared" si="4"/>
        <v/>
      </c>
      <c r="AN87" s="47" t="str">
        <f t="shared" si="5"/>
        <v/>
      </c>
      <c r="AO87" s="47" t="str">
        <f t="shared" si="6"/>
        <v/>
      </c>
      <c r="AP87" s="47" t="str">
        <f t="shared" si="7"/>
        <v/>
      </c>
      <c r="AQ87" s="47" t="str">
        <f t="shared" si="8"/>
        <v/>
      </c>
      <c r="AR87" s="47" t="str">
        <f t="shared" si="9"/>
        <v/>
      </c>
      <c r="AS87" s="47" t="str">
        <f>IF($AR87="","",ROUND($AR87*'Client Data'!$M$2,2))</f>
        <v/>
      </c>
      <c r="AT87" s="47" t="str">
        <f t="shared" si="10"/>
        <v/>
      </c>
    </row>
    <row r="88" ht="15.75" customHeight="1">
      <c r="A88" s="40"/>
      <c r="B88" s="41"/>
      <c r="C88" s="41"/>
      <c r="D88" s="41"/>
      <c r="E88" s="41"/>
      <c r="F88" s="40"/>
      <c r="G88" s="41"/>
      <c r="H88" s="41"/>
      <c r="I88" s="40"/>
      <c r="J88" s="42"/>
      <c r="K88" s="41"/>
      <c r="L88" s="41"/>
      <c r="M88" s="41"/>
      <c r="N88" s="42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3"/>
      <c r="AE88" s="43"/>
      <c r="AF88" s="45"/>
      <c r="AG88" s="45"/>
      <c r="AH88" s="43"/>
      <c r="AI88" s="41"/>
      <c r="AJ88" s="46" t="str">
        <f t="shared" si="1"/>
        <v/>
      </c>
      <c r="AK88" s="47" t="str">
        <f t="shared" si="2"/>
        <v/>
      </c>
      <c r="AL88" s="47" t="str">
        <f t="shared" si="3"/>
        <v/>
      </c>
      <c r="AM88" s="47" t="str">
        <f t="shared" si="4"/>
        <v/>
      </c>
      <c r="AN88" s="47" t="str">
        <f t="shared" si="5"/>
        <v/>
      </c>
      <c r="AO88" s="47" t="str">
        <f t="shared" si="6"/>
        <v/>
      </c>
      <c r="AP88" s="47" t="str">
        <f t="shared" si="7"/>
        <v/>
      </c>
      <c r="AQ88" s="47" t="str">
        <f t="shared" si="8"/>
        <v/>
      </c>
      <c r="AR88" s="47" t="str">
        <f t="shared" si="9"/>
        <v/>
      </c>
      <c r="AS88" s="47" t="str">
        <f>IF($AR88="","",ROUND($AR88*'Client Data'!$M$2,2))</f>
        <v/>
      </c>
      <c r="AT88" s="47" t="str">
        <f t="shared" si="10"/>
        <v/>
      </c>
    </row>
    <row r="89" ht="15.75" customHeight="1">
      <c r="A89" s="40"/>
      <c r="B89" s="41"/>
      <c r="C89" s="41"/>
      <c r="D89" s="41"/>
      <c r="E89" s="41"/>
      <c r="F89" s="40"/>
      <c r="G89" s="41"/>
      <c r="H89" s="41"/>
      <c r="I89" s="40"/>
      <c r="J89" s="42"/>
      <c r="K89" s="41"/>
      <c r="L89" s="41"/>
      <c r="M89" s="41"/>
      <c r="N89" s="42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3"/>
      <c r="AE89" s="43"/>
      <c r="AF89" s="45"/>
      <c r="AG89" s="45"/>
      <c r="AH89" s="43"/>
      <c r="AI89" s="41"/>
      <c r="AJ89" s="46" t="str">
        <f t="shared" si="1"/>
        <v/>
      </c>
      <c r="AK89" s="47" t="str">
        <f t="shared" si="2"/>
        <v/>
      </c>
      <c r="AL89" s="47" t="str">
        <f t="shared" si="3"/>
        <v/>
      </c>
      <c r="AM89" s="47" t="str">
        <f t="shared" si="4"/>
        <v/>
      </c>
      <c r="AN89" s="47" t="str">
        <f t="shared" si="5"/>
        <v/>
      </c>
      <c r="AO89" s="47" t="str">
        <f t="shared" si="6"/>
        <v/>
      </c>
      <c r="AP89" s="47" t="str">
        <f t="shared" si="7"/>
        <v/>
      </c>
      <c r="AQ89" s="47" t="str">
        <f t="shared" si="8"/>
        <v/>
      </c>
      <c r="AR89" s="47" t="str">
        <f t="shared" si="9"/>
        <v/>
      </c>
      <c r="AS89" s="47" t="str">
        <f>IF($AR89="","",ROUND($AR89*'Client Data'!$M$2,2))</f>
        <v/>
      </c>
      <c r="AT89" s="47" t="str">
        <f t="shared" si="10"/>
        <v/>
      </c>
    </row>
    <row r="90" ht="15.75" customHeight="1">
      <c r="A90" s="40"/>
      <c r="B90" s="41"/>
      <c r="C90" s="41"/>
      <c r="D90" s="41"/>
      <c r="E90" s="41"/>
      <c r="F90" s="40"/>
      <c r="G90" s="41"/>
      <c r="H90" s="41"/>
      <c r="I90" s="40"/>
      <c r="J90" s="42"/>
      <c r="K90" s="41"/>
      <c r="L90" s="41"/>
      <c r="M90" s="41"/>
      <c r="N90" s="42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3"/>
      <c r="AE90" s="43"/>
      <c r="AF90" s="45"/>
      <c r="AG90" s="45"/>
      <c r="AH90" s="43"/>
      <c r="AI90" s="41"/>
      <c r="AJ90" s="46" t="str">
        <f t="shared" si="1"/>
        <v/>
      </c>
      <c r="AK90" s="47" t="str">
        <f t="shared" si="2"/>
        <v/>
      </c>
      <c r="AL90" s="47" t="str">
        <f t="shared" si="3"/>
        <v/>
      </c>
      <c r="AM90" s="47" t="str">
        <f t="shared" si="4"/>
        <v/>
      </c>
      <c r="AN90" s="47" t="str">
        <f t="shared" si="5"/>
        <v/>
      </c>
      <c r="AO90" s="47" t="str">
        <f t="shared" si="6"/>
        <v/>
      </c>
      <c r="AP90" s="47" t="str">
        <f t="shared" si="7"/>
        <v/>
      </c>
      <c r="AQ90" s="47" t="str">
        <f t="shared" si="8"/>
        <v/>
      </c>
      <c r="AR90" s="47" t="str">
        <f t="shared" si="9"/>
        <v/>
      </c>
      <c r="AS90" s="47" t="str">
        <f>IF($AR90="","",ROUND($AR90*'Client Data'!$M$2,2))</f>
        <v/>
      </c>
      <c r="AT90" s="47" t="str">
        <f t="shared" si="10"/>
        <v/>
      </c>
    </row>
    <row r="91" ht="15.75" customHeight="1">
      <c r="A91" s="40"/>
      <c r="B91" s="41"/>
      <c r="C91" s="41"/>
      <c r="D91" s="41"/>
      <c r="E91" s="41"/>
      <c r="F91" s="40"/>
      <c r="G91" s="41"/>
      <c r="H91" s="41"/>
      <c r="I91" s="40"/>
      <c r="J91" s="42"/>
      <c r="K91" s="41"/>
      <c r="L91" s="41"/>
      <c r="M91" s="41"/>
      <c r="N91" s="42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3"/>
      <c r="AE91" s="43"/>
      <c r="AF91" s="45"/>
      <c r="AG91" s="45"/>
      <c r="AH91" s="43"/>
      <c r="AI91" s="41"/>
      <c r="AJ91" s="46" t="str">
        <f t="shared" si="1"/>
        <v/>
      </c>
      <c r="AK91" s="47" t="str">
        <f t="shared" si="2"/>
        <v/>
      </c>
      <c r="AL91" s="47" t="str">
        <f t="shared" si="3"/>
        <v/>
      </c>
      <c r="AM91" s="47" t="str">
        <f t="shared" si="4"/>
        <v/>
      </c>
      <c r="AN91" s="47" t="str">
        <f t="shared" si="5"/>
        <v/>
      </c>
      <c r="AO91" s="47" t="str">
        <f t="shared" si="6"/>
        <v/>
      </c>
      <c r="AP91" s="47" t="str">
        <f t="shared" si="7"/>
        <v/>
      </c>
      <c r="AQ91" s="47" t="str">
        <f t="shared" si="8"/>
        <v/>
      </c>
      <c r="AR91" s="47" t="str">
        <f t="shared" si="9"/>
        <v/>
      </c>
      <c r="AS91" s="47" t="str">
        <f>IF($AR91="","",ROUND($AR91*'Client Data'!$M$2,2))</f>
        <v/>
      </c>
      <c r="AT91" s="47" t="str">
        <f t="shared" si="10"/>
        <v/>
      </c>
    </row>
    <row r="92" ht="15.75" customHeight="1">
      <c r="A92" s="40"/>
      <c r="B92" s="41"/>
      <c r="C92" s="41"/>
      <c r="D92" s="41"/>
      <c r="E92" s="41"/>
      <c r="F92" s="40"/>
      <c r="G92" s="41"/>
      <c r="H92" s="41"/>
      <c r="I92" s="40"/>
      <c r="J92" s="42"/>
      <c r="K92" s="41"/>
      <c r="L92" s="41"/>
      <c r="M92" s="41"/>
      <c r="N92" s="42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3"/>
      <c r="AE92" s="43"/>
      <c r="AF92" s="45"/>
      <c r="AG92" s="45"/>
      <c r="AH92" s="43"/>
      <c r="AI92" s="41"/>
      <c r="AJ92" s="46" t="str">
        <f t="shared" si="1"/>
        <v/>
      </c>
      <c r="AK92" s="47" t="str">
        <f t="shared" si="2"/>
        <v/>
      </c>
      <c r="AL92" s="47" t="str">
        <f t="shared" si="3"/>
        <v/>
      </c>
      <c r="AM92" s="47" t="str">
        <f t="shared" si="4"/>
        <v/>
      </c>
      <c r="AN92" s="47" t="str">
        <f t="shared" si="5"/>
        <v/>
      </c>
      <c r="AO92" s="47" t="str">
        <f t="shared" si="6"/>
        <v/>
      </c>
      <c r="AP92" s="47" t="str">
        <f t="shared" si="7"/>
        <v/>
      </c>
      <c r="AQ92" s="47" t="str">
        <f t="shared" si="8"/>
        <v/>
      </c>
      <c r="AR92" s="47" t="str">
        <f t="shared" si="9"/>
        <v/>
      </c>
      <c r="AS92" s="47" t="str">
        <f>IF($AR92="","",ROUND($AR92*'Client Data'!$M$2,2))</f>
        <v/>
      </c>
      <c r="AT92" s="47" t="str">
        <f t="shared" si="10"/>
        <v/>
      </c>
    </row>
    <row r="93" ht="15.75" customHeight="1">
      <c r="A93" s="40"/>
      <c r="B93" s="41"/>
      <c r="C93" s="41"/>
      <c r="D93" s="41"/>
      <c r="E93" s="41"/>
      <c r="F93" s="40"/>
      <c r="G93" s="41"/>
      <c r="H93" s="41"/>
      <c r="I93" s="40"/>
      <c r="J93" s="42"/>
      <c r="K93" s="41"/>
      <c r="L93" s="41"/>
      <c r="M93" s="41"/>
      <c r="N93" s="42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3"/>
      <c r="AE93" s="43"/>
      <c r="AF93" s="45"/>
      <c r="AG93" s="45"/>
      <c r="AH93" s="43"/>
      <c r="AI93" s="41"/>
      <c r="AJ93" s="46" t="str">
        <f t="shared" si="1"/>
        <v/>
      </c>
      <c r="AK93" s="47" t="str">
        <f t="shared" si="2"/>
        <v/>
      </c>
      <c r="AL93" s="47" t="str">
        <f t="shared" si="3"/>
        <v/>
      </c>
      <c r="AM93" s="47" t="str">
        <f t="shared" si="4"/>
        <v/>
      </c>
      <c r="AN93" s="47" t="str">
        <f t="shared" si="5"/>
        <v/>
      </c>
      <c r="AO93" s="47" t="str">
        <f t="shared" si="6"/>
        <v/>
      </c>
      <c r="AP93" s="47" t="str">
        <f t="shared" si="7"/>
        <v/>
      </c>
      <c r="AQ93" s="47" t="str">
        <f t="shared" si="8"/>
        <v/>
      </c>
      <c r="AR93" s="47" t="str">
        <f t="shared" si="9"/>
        <v/>
      </c>
      <c r="AS93" s="47" t="str">
        <f>IF($AR93="","",ROUND($AR93*'Client Data'!$M$2,2))</f>
        <v/>
      </c>
      <c r="AT93" s="47" t="str">
        <f t="shared" si="10"/>
        <v/>
      </c>
    </row>
    <row r="94" ht="15.75" customHeight="1">
      <c r="A94" s="40"/>
      <c r="B94" s="41"/>
      <c r="C94" s="41"/>
      <c r="D94" s="41"/>
      <c r="E94" s="41"/>
      <c r="F94" s="40"/>
      <c r="G94" s="41"/>
      <c r="H94" s="41"/>
      <c r="I94" s="40"/>
      <c r="J94" s="42"/>
      <c r="K94" s="41"/>
      <c r="L94" s="41"/>
      <c r="M94" s="41"/>
      <c r="N94" s="42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3"/>
      <c r="AE94" s="43"/>
      <c r="AF94" s="45"/>
      <c r="AG94" s="45"/>
      <c r="AH94" s="43"/>
      <c r="AI94" s="41"/>
      <c r="AJ94" s="46" t="str">
        <f t="shared" si="1"/>
        <v/>
      </c>
      <c r="AK94" s="47" t="str">
        <f t="shared" si="2"/>
        <v/>
      </c>
      <c r="AL94" s="47" t="str">
        <f t="shared" si="3"/>
        <v/>
      </c>
      <c r="AM94" s="47" t="str">
        <f t="shared" si="4"/>
        <v/>
      </c>
      <c r="AN94" s="47" t="str">
        <f t="shared" si="5"/>
        <v/>
      </c>
      <c r="AO94" s="47" t="str">
        <f t="shared" si="6"/>
        <v/>
      </c>
      <c r="AP94" s="47" t="str">
        <f t="shared" si="7"/>
        <v/>
      </c>
      <c r="AQ94" s="47" t="str">
        <f t="shared" si="8"/>
        <v/>
      </c>
      <c r="AR94" s="47" t="str">
        <f t="shared" si="9"/>
        <v/>
      </c>
      <c r="AS94" s="47" t="str">
        <f>IF($AR94="","",ROUND($AR94*'Client Data'!$M$2,2))</f>
        <v/>
      </c>
      <c r="AT94" s="47" t="str">
        <f t="shared" si="10"/>
        <v/>
      </c>
    </row>
    <row r="95" ht="15.75" customHeight="1">
      <c r="A95" s="40"/>
      <c r="B95" s="41"/>
      <c r="C95" s="41"/>
      <c r="D95" s="41"/>
      <c r="E95" s="41"/>
      <c r="F95" s="40"/>
      <c r="G95" s="41"/>
      <c r="H95" s="41"/>
      <c r="I95" s="40"/>
      <c r="J95" s="42"/>
      <c r="K95" s="41"/>
      <c r="L95" s="41"/>
      <c r="M95" s="41"/>
      <c r="N95" s="42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3"/>
      <c r="AE95" s="43"/>
      <c r="AF95" s="45"/>
      <c r="AG95" s="45"/>
      <c r="AH95" s="43"/>
      <c r="AI95" s="41"/>
      <c r="AJ95" s="46" t="str">
        <f t="shared" si="1"/>
        <v/>
      </c>
      <c r="AK95" s="47" t="str">
        <f t="shared" si="2"/>
        <v/>
      </c>
      <c r="AL95" s="47" t="str">
        <f t="shared" si="3"/>
        <v/>
      </c>
      <c r="AM95" s="47" t="str">
        <f t="shared" si="4"/>
        <v/>
      </c>
      <c r="AN95" s="47" t="str">
        <f t="shared" si="5"/>
        <v/>
      </c>
      <c r="AO95" s="47" t="str">
        <f t="shared" si="6"/>
        <v/>
      </c>
      <c r="AP95" s="47" t="str">
        <f t="shared" si="7"/>
        <v/>
      </c>
      <c r="AQ95" s="47" t="str">
        <f t="shared" si="8"/>
        <v/>
      </c>
      <c r="AR95" s="47" t="str">
        <f t="shared" si="9"/>
        <v/>
      </c>
      <c r="AS95" s="47" t="str">
        <f>IF($AR95="","",ROUND($AR95*'Client Data'!$M$2,2))</f>
        <v/>
      </c>
      <c r="AT95" s="47" t="str">
        <f t="shared" si="10"/>
        <v/>
      </c>
    </row>
    <row r="96" ht="15.75" customHeight="1">
      <c r="A96" s="40"/>
      <c r="B96" s="41"/>
      <c r="C96" s="41"/>
      <c r="D96" s="41"/>
      <c r="E96" s="41"/>
      <c r="F96" s="40"/>
      <c r="G96" s="41"/>
      <c r="H96" s="41"/>
      <c r="I96" s="40"/>
      <c r="J96" s="42"/>
      <c r="K96" s="41"/>
      <c r="L96" s="41"/>
      <c r="M96" s="41"/>
      <c r="N96" s="42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3"/>
      <c r="AE96" s="43"/>
      <c r="AF96" s="45"/>
      <c r="AG96" s="45"/>
      <c r="AH96" s="43"/>
      <c r="AI96" s="41"/>
      <c r="AJ96" s="46" t="str">
        <f t="shared" si="1"/>
        <v/>
      </c>
      <c r="AK96" s="47" t="str">
        <f t="shared" si="2"/>
        <v/>
      </c>
      <c r="AL96" s="47" t="str">
        <f t="shared" si="3"/>
        <v/>
      </c>
      <c r="AM96" s="47" t="str">
        <f t="shared" si="4"/>
        <v/>
      </c>
      <c r="AN96" s="47" t="str">
        <f t="shared" si="5"/>
        <v/>
      </c>
      <c r="AO96" s="47" t="str">
        <f t="shared" si="6"/>
        <v/>
      </c>
      <c r="AP96" s="47" t="str">
        <f t="shared" si="7"/>
        <v/>
      </c>
      <c r="AQ96" s="47" t="str">
        <f t="shared" si="8"/>
        <v/>
      </c>
      <c r="AR96" s="47" t="str">
        <f t="shared" si="9"/>
        <v/>
      </c>
      <c r="AS96" s="47" t="str">
        <f>IF($AR96="","",ROUND($AR96*'Client Data'!$M$2,2))</f>
        <v/>
      </c>
      <c r="AT96" s="47" t="str">
        <f t="shared" si="10"/>
        <v/>
      </c>
    </row>
    <row r="97" ht="15.75" customHeight="1">
      <c r="A97" s="40"/>
      <c r="B97" s="41"/>
      <c r="C97" s="41"/>
      <c r="D97" s="41"/>
      <c r="E97" s="41"/>
      <c r="F97" s="40"/>
      <c r="G97" s="41"/>
      <c r="H97" s="41"/>
      <c r="I97" s="40"/>
      <c r="J97" s="42"/>
      <c r="K97" s="41"/>
      <c r="L97" s="41"/>
      <c r="M97" s="41"/>
      <c r="N97" s="42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3"/>
      <c r="AE97" s="43"/>
      <c r="AF97" s="45"/>
      <c r="AG97" s="45"/>
      <c r="AH97" s="43"/>
      <c r="AI97" s="41"/>
      <c r="AJ97" s="46" t="str">
        <f t="shared" si="1"/>
        <v/>
      </c>
      <c r="AK97" s="47" t="str">
        <f t="shared" si="2"/>
        <v/>
      </c>
      <c r="AL97" s="47" t="str">
        <f t="shared" si="3"/>
        <v/>
      </c>
      <c r="AM97" s="47" t="str">
        <f t="shared" si="4"/>
        <v/>
      </c>
      <c r="AN97" s="47" t="str">
        <f t="shared" si="5"/>
        <v/>
      </c>
      <c r="AO97" s="47" t="str">
        <f t="shared" si="6"/>
        <v/>
      </c>
      <c r="AP97" s="47" t="str">
        <f t="shared" si="7"/>
        <v/>
      </c>
      <c r="AQ97" s="47" t="str">
        <f t="shared" si="8"/>
        <v/>
      </c>
      <c r="AR97" s="47" t="str">
        <f t="shared" si="9"/>
        <v/>
      </c>
      <c r="AS97" s="47" t="str">
        <f>IF($AR97="","",ROUND($AR97*'Client Data'!$M$2,2))</f>
        <v/>
      </c>
      <c r="AT97" s="47" t="str">
        <f t="shared" si="10"/>
        <v/>
      </c>
    </row>
    <row r="98" ht="15.75" customHeight="1">
      <c r="A98" s="40"/>
      <c r="B98" s="41"/>
      <c r="C98" s="41"/>
      <c r="D98" s="41"/>
      <c r="E98" s="41"/>
      <c r="F98" s="40"/>
      <c r="G98" s="41"/>
      <c r="H98" s="41"/>
      <c r="I98" s="40"/>
      <c r="J98" s="42"/>
      <c r="K98" s="41"/>
      <c r="L98" s="41"/>
      <c r="M98" s="41"/>
      <c r="N98" s="42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3"/>
      <c r="AE98" s="43"/>
      <c r="AF98" s="45"/>
      <c r="AG98" s="45"/>
      <c r="AH98" s="43"/>
      <c r="AI98" s="41"/>
      <c r="AJ98" s="46" t="str">
        <f t="shared" si="1"/>
        <v/>
      </c>
      <c r="AK98" s="47" t="str">
        <f t="shared" si="2"/>
        <v/>
      </c>
      <c r="AL98" s="47" t="str">
        <f t="shared" si="3"/>
        <v/>
      </c>
      <c r="AM98" s="47" t="str">
        <f t="shared" si="4"/>
        <v/>
      </c>
      <c r="AN98" s="47" t="str">
        <f t="shared" si="5"/>
        <v/>
      </c>
      <c r="AO98" s="47" t="str">
        <f t="shared" si="6"/>
        <v/>
      </c>
      <c r="AP98" s="47" t="str">
        <f t="shared" si="7"/>
        <v/>
      </c>
      <c r="AQ98" s="47" t="str">
        <f t="shared" si="8"/>
        <v/>
      </c>
      <c r="AR98" s="47" t="str">
        <f t="shared" si="9"/>
        <v/>
      </c>
      <c r="AS98" s="47" t="str">
        <f>IF($AR98="","",ROUND($AR98*'Client Data'!$M$2,2))</f>
        <v/>
      </c>
      <c r="AT98" s="47" t="str">
        <f t="shared" si="10"/>
        <v/>
      </c>
    </row>
    <row r="99" ht="15.75" customHeight="1">
      <c r="A99" s="40"/>
      <c r="B99" s="41"/>
      <c r="C99" s="41"/>
      <c r="D99" s="41"/>
      <c r="E99" s="41"/>
      <c r="F99" s="40"/>
      <c r="G99" s="41"/>
      <c r="H99" s="41"/>
      <c r="I99" s="40"/>
      <c r="J99" s="42"/>
      <c r="K99" s="41"/>
      <c r="L99" s="41"/>
      <c r="M99" s="41"/>
      <c r="N99" s="42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3"/>
      <c r="AE99" s="43"/>
      <c r="AF99" s="45"/>
      <c r="AG99" s="45"/>
      <c r="AH99" s="43"/>
      <c r="AI99" s="41"/>
      <c r="AJ99" s="46" t="str">
        <f t="shared" si="1"/>
        <v/>
      </c>
      <c r="AK99" s="47" t="str">
        <f t="shared" si="2"/>
        <v/>
      </c>
      <c r="AL99" s="47" t="str">
        <f t="shared" si="3"/>
        <v/>
      </c>
      <c r="AM99" s="47" t="str">
        <f t="shared" si="4"/>
        <v/>
      </c>
      <c r="AN99" s="47" t="str">
        <f t="shared" si="5"/>
        <v/>
      </c>
      <c r="AO99" s="47" t="str">
        <f t="shared" si="6"/>
        <v/>
      </c>
      <c r="AP99" s="47" t="str">
        <f t="shared" si="7"/>
        <v/>
      </c>
      <c r="AQ99" s="47" t="str">
        <f t="shared" si="8"/>
        <v/>
      </c>
      <c r="AR99" s="47" t="str">
        <f t="shared" si="9"/>
        <v/>
      </c>
      <c r="AS99" s="47" t="str">
        <f>IF($AR99="","",ROUND($AR99*'Client Data'!$M$2,2))</f>
        <v/>
      </c>
      <c r="AT99" s="47" t="str">
        <f t="shared" si="10"/>
        <v/>
      </c>
    </row>
    <row r="100" ht="15.75" customHeight="1">
      <c r="A100" s="40"/>
      <c r="B100" s="41"/>
      <c r="C100" s="41"/>
      <c r="D100" s="41"/>
      <c r="E100" s="41"/>
      <c r="F100" s="40"/>
      <c r="G100" s="41"/>
      <c r="H100" s="41"/>
      <c r="I100" s="40"/>
      <c r="J100" s="42"/>
      <c r="K100" s="41"/>
      <c r="L100" s="41"/>
      <c r="M100" s="41"/>
      <c r="N100" s="42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3"/>
      <c r="AE100" s="43"/>
      <c r="AF100" s="45"/>
      <c r="AG100" s="45"/>
      <c r="AH100" s="43"/>
      <c r="AI100" s="41"/>
      <c r="AJ100" s="46" t="str">
        <f t="shared" si="1"/>
        <v/>
      </c>
      <c r="AK100" s="47" t="str">
        <f t="shared" si="2"/>
        <v/>
      </c>
      <c r="AL100" s="47" t="str">
        <f t="shared" si="3"/>
        <v/>
      </c>
      <c r="AM100" s="47" t="str">
        <f t="shared" si="4"/>
        <v/>
      </c>
      <c r="AN100" s="47" t="str">
        <f t="shared" si="5"/>
        <v/>
      </c>
      <c r="AO100" s="47" t="str">
        <f t="shared" si="6"/>
        <v/>
      </c>
      <c r="AP100" s="47" t="str">
        <f t="shared" si="7"/>
        <v/>
      </c>
      <c r="AQ100" s="47" t="str">
        <f t="shared" si="8"/>
        <v/>
      </c>
      <c r="AR100" s="47" t="str">
        <f t="shared" si="9"/>
        <v/>
      </c>
      <c r="AS100" s="47" t="str">
        <f>IF($AR100="","",ROUND($AR100*'Client Data'!$M$2,2))</f>
        <v/>
      </c>
      <c r="AT100" s="47" t="str">
        <f t="shared" si="10"/>
        <v/>
      </c>
    </row>
    <row r="101" ht="15.75" customHeight="1">
      <c r="A101" s="40"/>
      <c r="B101" s="41"/>
      <c r="C101" s="41"/>
      <c r="D101" s="41"/>
      <c r="E101" s="41"/>
      <c r="F101" s="40"/>
      <c r="G101" s="41"/>
      <c r="H101" s="41"/>
      <c r="I101" s="40"/>
      <c r="J101" s="42"/>
      <c r="K101" s="41"/>
      <c r="L101" s="41"/>
      <c r="M101" s="41"/>
      <c r="N101" s="42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3"/>
      <c r="AE101" s="43"/>
      <c r="AF101" s="45"/>
      <c r="AG101" s="45"/>
      <c r="AH101" s="43"/>
      <c r="AI101" s="41"/>
      <c r="AJ101" s="46" t="str">
        <f t="shared" si="1"/>
        <v/>
      </c>
      <c r="AK101" s="47" t="str">
        <f t="shared" si="2"/>
        <v/>
      </c>
      <c r="AL101" s="47" t="str">
        <f t="shared" si="3"/>
        <v/>
      </c>
      <c r="AM101" s="47" t="str">
        <f t="shared" si="4"/>
        <v/>
      </c>
      <c r="AN101" s="47" t="str">
        <f t="shared" si="5"/>
        <v/>
      </c>
      <c r="AO101" s="47" t="str">
        <f t="shared" si="6"/>
        <v/>
      </c>
      <c r="AP101" s="47" t="str">
        <f t="shared" si="7"/>
        <v/>
      </c>
      <c r="AQ101" s="47" t="str">
        <f t="shared" si="8"/>
        <v/>
      </c>
      <c r="AR101" s="47" t="str">
        <f t="shared" si="9"/>
        <v/>
      </c>
      <c r="AS101" s="47" t="str">
        <f>IF($AR101="","",ROUND($AR101*'Client Data'!$M$2,2))</f>
        <v/>
      </c>
      <c r="AT101" s="47" t="str">
        <f t="shared" si="10"/>
        <v/>
      </c>
    </row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H2:H101">
    <cfRule type="containsText" dxfId="0" priority="1" operator="containsText" text="Matched">
      <formula>NOT(ISERROR(SEARCH(("Matched"),(H2))))</formula>
    </cfRule>
  </conditionalFormatting>
  <conditionalFormatting sqref="H2:H101">
    <cfRule type="containsText" dxfId="0" priority="2" operator="containsText" text="Ready for Quote Review">
      <formula>NOT(ISERROR(SEARCH(("Ready for Quote Review"),(H2))))</formula>
    </cfRule>
  </conditionalFormatting>
  <conditionalFormatting sqref="H2:H101">
    <cfRule type="containsText" dxfId="1" priority="3" operator="containsText" text="Needs Review">
      <formula>NOT(ISERROR(SEARCH(("Needs Review"),(H2))))</formula>
    </cfRule>
  </conditionalFormatting>
  <conditionalFormatting sqref="H2:H101">
    <cfRule type="containsText" dxfId="1" priority="4" operator="containsText" text="Needs Product Review">
      <formula>NOT(ISERROR(SEARCH(("Needs Product Review"),(H2))))</formula>
    </cfRule>
  </conditionalFormatting>
  <conditionalFormatting sqref="H2:H101">
    <cfRule type="containsText" dxfId="3" priority="5" operator="containsText" text="Ready for Pricing">
      <formula>NOT(ISERROR(SEARCH(("Ready for Pricing"),(H2))))</formula>
    </cfRule>
  </conditionalFormatting>
  <conditionalFormatting sqref="H2:H101">
    <cfRule type="containsText" dxfId="2" priority="6" operator="containsText" text="Pricing Incomplete">
      <formula>NOT(ISERROR(SEARCH(("Pricing Incomplete"),(H2))))</formula>
    </cfRule>
  </conditionalFormatting>
  <conditionalFormatting sqref="H2:H101">
    <cfRule type="containsText" dxfId="2" priority="7" operator="containsText" text="Unmatched">
      <formula>NOT(ISERROR(SEARCH(("Unmatched"),(H2))))</formula>
    </cfRule>
  </conditionalFormatting>
  <conditionalFormatting sqref="H2:H101">
    <cfRule type="containsText" dxfId="4" priority="8" operator="containsText" text="Custom">
      <formula>NOT(ISERROR(SEARCH(("Custom"),(H2))))</formula>
    </cfRule>
  </conditionalFormatting>
  <conditionalFormatting sqref="AJ2:AJ101">
    <cfRule type="containsText" dxfId="0" priority="9" operator="containsText" text="Matched">
      <formula>NOT(ISERROR(SEARCH(("Matched"),(AJ2))))</formula>
    </cfRule>
  </conditionalFormatting>
  <conditionalFormatting sqref="AJ2:AJ101">
    <cfRule type="containsText" dxfId="0" priority="10" operator="containsText" text="Ready for Quote Review">
      <formula>NOT(ISERROR(SEARCH(("Ready for Quote Review"),(AJ2))))</formula>
    </cfRule>
  </conditionalFormatting>
  <conditionalFormatting sqref="AJ2:AJ101">
    <cfRule type="containsText" dxfId="1" priority="11" operator="containsText" text="Needs Review">
      <formula>NOT(ISERROR(SEARCH(("Needs Review"),(AJ2))))</formula>
    </cfRule>
  </conditionalFormatting>
  <conditionalFormatting sqref="AJ2:AJ101">
    <cfRule type="containsText" dxfId="1" priority="12" operator="containsText" text="Needs Product Review">
      <formula>NOT(ISERROR(SEARCH(("Needs Product Review"),(AJ2))))</formula>
    </cfRule>
  </conditionalFormatting>
  <conditionalFormatting sqref="AJ2:AJ101">
    <cfRule type="containsText" dxfId="3" priority="13" operator="containsText" text="Ready for Pricing">
      <formula>NOT(ISERROR(SEARCH(("Ready for Pricing"),(AJ2))))</formula>
    </cfRule>
  </conditionalFormatting>
  <conditionalFormatting sqref="AJ2:AJ101">
    <cfRule type="containsText" dxfId="2" priority="14" operator="containsText" text="Pricing Incomplete">
      <formula>NOT(ISERROR(SEARCH(("Pricing Incomplete"),(AJ2))))</formula>
    </cfRule>
  </conditionalFormatting>
  <conditionalFormatting sqref="AJ2:AJ101">
    <cfRule type="containsText" dxfId="2" priority="15" operator="containsText" text="Unmatched">
      <formula>NOT(ISERROR(SEARCH(("Unmatched"),(AJ2))))</formula>
    </cfRule>
  </conditionalFormatting>
  <conditionalFormatting sqref="AJ2:AJ101">
    <cfRule type="containsText" dxfId="4" priority="16" operator="containsText" text="Custom">
      <formula>NOT(ISERROR(SEARCH(("Custom"),(AJ2))))</formula>
    </cfRule>
  </conditionalFormatting>
  <dataValidations>
    <dataValidation type="decimal" allowBlank="1" sqref="I2:I101 AF2:AF101">
      <formula1>0.0</formula1>
      <formula2>100.0</formula2>
    </dataValidation>
    <dataValidation type="list" allowBlank="1" sqref="AI2:AI101">
      <formula1>"Per Unit,Once Off"</formula1>
    </dataValidation>
    <dataValidation type="list" allowBlank="1" sqref="H2:H101">
      <formula1>"Matched,Needs Review,Unmatched,Custom"</formula1>
    </dataValidation>
    <dataValidation type="decimal" operator="greaterThanOrEqual" allowBlank="1" sqref="F2:F101">
      <formula1>1.0</formula1>
    </dataValidation>
    <dataValidation type="decimal" operator="greaterThan" allowBlank="1" sqref="AD2:AD101">
      <formula1>0.0</formula1>
    </dataValidation>
    <dataValidation type="decimal" operator="greaterThanOrEqual" allowBlank="1" sqref="AE2:AE101 AG2:AH101">
      <formula1>0.0</formula1>
    </dataValidation>
  </dataValidations>
  <printOptions/>
  <pageMargins bottom="0.75" footer="0.0" header="0.0" left="0.7" right="0.7" top="0.75"/>
  <pageSetup orientation="landscape"/>
  <drawing r:id="rId2"/>
  <legacyDrawing r:id="rId3"/>
</worksheet>
</file>